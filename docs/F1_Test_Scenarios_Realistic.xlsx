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F1_Test_Cases" sheetId="1" state="visible" r:id="rId1"/>
    <sheet name="Live_Smoke" sheetId="2" state="visible" r:id="rId2"/>
    <sheet name="Coverage" sheetId="3" state="visible" r:id="rId3"/>
    <sheet name="GroundTruth_Rules" sheetId="4" state="visible" r:id="rId4"/>
    <sheet name="Automation" sheetId="5" state="visible" r:id="rId5"/>
  </sheets>
  <definedNames>
    <definedName name="_xlnm._FilterDatabase" localSheetId="0" hidden="1">'F1_Test_Cases'!$A$1:$S$85</definedName>
  </definedNames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rlito"/>
      <sz val="11"/>
    </font>
    <font>
      <name val="Carlito"/>
      <b val="1"/>
      <color rgb="FFFFFFFF"/>
      <sz val="11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FF163A5F"/>
      </patternFill>
    </fill>
    <fill>
      <patternFill patternType="solid">
        <fgColor rgb="FFFDE2E2"/>
      </patternFill>
    </fill>
    <fill>
      <patternFill patternType="solid">
        <fgColor rgb="FFE1F0FF"/>
      </patternFill>
    </fill>
    <fill>
      <patternFill patternType="solid">
        <fgColor rgb="FFFFF4CC"/>
      </patternFill>
    </fill>
    <fill>
      <patternFill patternType="solid">
        <fgColor rgb="FFE7F6E7"/>
      </patternFill>
    </fill>
    <fill>
      <patternFill patternType="solid">
        <fgColor rgb="001F4E78"/>
      </patternFill>
    </fill>
  </fills>
  <borders count="2">
    <border/>
    <border/>
  </borders>
  <cellStyleXfs count="1">
    <xf numFmtId="0" fontId="0" fillId="0" borderId="1"/>
  </cellStyleXfs>
  <cellXfs count="29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1" fillId="2" borderId="0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2" fillId="7" borderId="0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F1TestCasesTable" displayName="F1TestCasesTable" ref="A1:M85" headerRowCount="1" totalsRowCount="0" totalsRowShown="0">
  <tableColumns count="13">
    <tableColumn id="1" name="STT"/>
    <tableColumn id="2" name="Test ID"/>
    <tableColumn id="3" name="User Story"/>
    <tableColumn id="4" name="Nhóm kiểm thử"/>
    <tableColumn id="5" name="Priority"/>
    <tableColumn id="6" name="Data mode"/>
    <tableColumn id="7" name="Trường hợp"/>
    <tableColumn id="8" name="Tình huống thực tế"/>
    <tableColumn id="9" name="Tiền điều kiện / Input"/>
    <tableColumn id="10" name="Nội dung thực hiện"/>
    <tableColumn id="11" name="Kết quả mong đợi"/>
    <tableColumn id="12" name="Ground truth / Oracle"/>
    <tableColumn id="13" name="Ghi chú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LiveSmokeTable" displayName="LiveSmokeTable" ref="A1:G21" headerRowCount="1" totalsRowCount="0" totalsRowShown="0">
  <tableColumns count="7">
    <tableColumn id="1" name="STT"/>
    <tableColumn id="2" name="Test ID"/>
    <tableColumn id="3" name="Trường hợp"/>
    <tableColumn id="4" name="Input / Tình huống"/>
    <tableColumn id="5" name="Thực hiện"/>
    <tableColumn id="6" name="Expected"/>
    <tableColumn id="7" name="Lưu ý orac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6" customWidth="1" min="3" max="3"/>
    <col width="18" customWidth="1" min="4" max="4"/>
    <col width="9" customWidth="1" min="5" max="5"/>
    <col width="11" customWidth="1" min="6" max="6"/>
    <col width="30" customWidth="1" min="7" max="7"/>
    <col width="38" customWidth="1" min="8" max="8"/>
    <col width="34" customWidth="1" min="9" max="9"/>
    <col width="46" customWidth="1" min="10" max="10"/>
    <col width="46" customWidth="1" min="11" max="11"/>
    <col width="40" customWidth="1" min="12" max="12"/>
    <col width="28" customWidth="1" min="13" max="13"/>
    <col width="52" customWidth="1" min="14" max="14"/>
    <col width="42" customWidth="1" min="15" max="15"/>
    <col width="18" customWidth="1" min="16" max="16"/>
    <col width="20" customWidth="1" min="17" max="17"/>
    <col width="58" customWidth="1" min="18" max="18"/>
    <col width="16" customWidth="1" min="19" max="19"/>
  </cols>
  <sheetData>
    <row r="1">
      <c r="A1" s="14" t="inlineStr">
        <is>
          <t>STT</t>
        </is>
      </c>
      <c r="B1" s="14" t="inlineStr">
        <is>
          <t>Test ID</t>
        </is>
      </c>
      <c r="C1" s="14" t="inlineStr">
        <is>
          <t>User Story</t>
        </is>
      </c>
      <c r="D1" s="14" t="inlineStr">
        <is>
          <t>Nhóm kiểm thử</t>
        </is>
      </c>
      <c r="E1" s="14" t="inlineStr">
        <is>
          <t>Priority</t>
        </is>
      </c>
      <c r="F1" s="14" t="inlineStr">
        <is>
          <t>Data mode</t>
        </is>
      </c>
      <c r="G1" s="14" t="inlineStr">
        <is>
          <t>Trường hợp</t>
        </is>
      </c>
      <c r="H1" s="14" t="inlineStr">
        <is>
          <t>Tình huống thực tế</t>
        </is>
      </c>
      <c r="I1" s="14" t="inlineStr">
        <is>
          <t>Tiền điều kiện / Input</t>
        </is>
      </c>
      <c r="J1" s="14" t="inlineStr">
        <is>
          <t>Nội dung thực hiện</t>
        </is>
      </c>
      <c r="K1" s="14" t="inlineStr">
        <is>
          <t>Kết quả mong đợi</t>
        </is>
      </c>
      <c r="L1" s="14" t="inlineStr">
        <is>
          <t>Ground truth / Oracle</t>
        </is>
      </c>
      <c r="M1" s="14" t="inlineStr">
        <is>
          <t>Ghi chú</t>
        </is>
      </c>
      <c r="N1" s="16" t="inlineStr">
        <is>
          <t>Automated test</t>
        </is>
      </c>
      <c r="O1" s="16" t="inlineStr">
        <is>
          <t>Test file</t>
        </is>
      </c>
      <c r="P1" s="16" t="inlineStr">
        <is>
          <t>Test level</t>
        </is>
      </c>
      <c r="Q1" s="16" t="inlineStr">
        <is>
          <t>Automation status</t>
        </is>
      </c>
      <c r="R1" s="16" t="inlineStr">
        <is>
          <t>Gap / Failure reason</t>
        </is>
      </c>
      <c r="S1" s="16" t="inlineStr">
        <is>
          <t>Last verified</t>
        </is>
      </c>
    </row>
    <row r="2">
      <c r="A2" s="15" t="n">
        <v>1</v>
      </c>
      <c r="B2" s="15" t="inlineStr">
        <is>
          <t>F1-TC-001</t>
        </is>
      </c>
      <c r="C2" s="15" t="inlineStr">
        <is>
          <t>F1-US1</t>
        </is>
      </c>
      <c r="D2" s="15" t="inlineStr">
        <is>
          <t>Input &amp; Places</t>
        </is>
      </c>
      <c r="E2" s="18" t="inlineStr">
        <is>
          <t>P0</t>
        </is>
      </c>
      <c r="F2" s="20" t="inlineStr">
        <is>
          <t>LIVE</t>
        </is>
      </c>
      <c r="G2" s="15" t="inlineStr">
        <is>
          <t>Lập kế hoạch với địa chỉ phổ biến</t>
        </is>
      </c>
      <c r="H2" s="15" t="inlineStr">
        <is>
          <t>Chủ xe chuẩn bị đi Hà Nội → Vinh và biết SOC hiện tại.</t>
        </is>
      </c>
      <c r="I2" s="15" t="inlineStr">
        <is>
          <t>Origin: Hà Nội; Destination: Vinh; SOC: 60%.</t>
        </is>
      </c>
      <c r="J2" s="15" t="inlineStr">
        <is>
          <t>1. Gõ điểm đi và chọn đúng suggestion Goong.
2. Gõ điểm đến và chọn đúng suggestion.
3. Nhập SOC 60%.
4. Bấm lập kế hoạch.</t>
        </is>
      </c>
      <c r="K2" s="15" t="inlineStr">
        <is>
          <t>Trip được chấp nhận; tọa độ được resolve từ Place Detail; planner được gọi; không tự sửa địa điểm người dùng đã chọn.</t>
        </is>
      </c>
      <c r="L2" s="15" t="inlineStr">
        <is>
          <t>LIVE: kiểm tra invariants và Place ID/toạ độ được trả từ Goong tại thời điểm test; không cố định số route/trạm.</t>
        </is>
      </c>
      <c r="M2" s="15" t="inlineStr">
        <is>
          <t>Case smoke chính.</t>
        </is>
      </c>
      <c r="N2" s="15" t="n"/>
      <c r="O2" s="15" t="n"/>
      <c r="P2" s="15" t="n"/>
      <c r="Q2" s="15" t="inlineStr">
        <is>
          <t>NOT_AUTOMATED</t>
        </is>
      </c>
      <c r="R2" s="15" t="inlineStr">
        <is>
          <t>Chưa có automated test ánh xạ trực tiếp cho toàn bộ oracle của case này.</t>
        </is>
      </c>
      <c r="S2" s="26" t="n">
        <v>46249</v>
      </c>
    </row>
    <row r="3">
      <c r="A3" s="15" t="n">
        <v>2</v>
      </c>
      <c r="B3" s="15" t="inlineStr">
        <is>
          <t>F1-TC-002</t>
        </is>
      </c>
      <c r="C3" s="15" t="inlineStr">
        <is>
          <t>F1-US1</t>
        </is>
      </c>
      <c r="D3" s="15" t="inlineStr">
        <is>
          <t>Input &amp; Places</t>
        </is>
      </c>
      <c r="E3" s="18" t="inlineStr">
        <is>
          <t>P0</t>
        </is>
      </c>
      <c r="F3" s="20" t="inlineStr">
        <is>
          <t>LIVE</t>
        </is>
      </c>
      <c r="G3" s="15" t="inlineStr">
        <is>
          <t>Dùng vị trí hiện tại làm điểm xuất phát</t>
        </is>
      </c>
      <c r="H3" s="15" t="inlineStr">
        <is>
          <t>Người dùng đang đứng ở Hà Nội và muốn lấy GPS điện thoại thay vì nhập địa chỉ.</t>
        </is>
      </c>
      <c r="I3" s="15" t="inlineStr">
        <is>
          <t>Browser đã cấp quyền Location; destination hợp lệ; SOC 70%.</t>
        </is>
      </c>
      <c r="J3" s="15" t="inlineStr">
        <is>
          <t>1. Bấm nút lấy vị trí hiện tại.
2. Chờ GPS resolve.
3. Chọn destination.
4. Lập plan.</t>
        </is>
      </c>
      <c r="K3" s="15" t="inlineStr">
        <is>
          <t>Origin được gắn từ GPS/browser; UI hiển thị đúng vị trí; không lấy một địa điểm ngẫu nhiên từ autocomplete.</t>
        </is>
      </c>
      <c r="L3" s="15" t="inlineStr">
        <is>
          <t>LIVE: so vị trí với GPS thiết bị trong sai số chấp nhận của browser; không hard-code tọa độ.</t>
        </is>
      </c>
      <c r="M3" s="15" t="inlineStr">
        <is>
          <t>GPS F1 chỉ phục vụ chọn origin, không phải telemetry F3.</t>
        </is>
      </c>
      <c r="N3" s="15" t="n"/>
      <c r="O3" s="15" t="n"/>
      <c r="P3" s="15" t="n"/>
      <c r="Q3" s="15" t="inlineStr">
        <is>
          <t>NOT_AUTOMATED</t>
        </is>
      </c>
      <c r="R3" s="15" t="inlineStr">
        <is>
          <t>Chưa có automated test ánh xạ trực tiếp cho toàn bộ oracle của case này.</t>
        </is>
      </c>
      <c r="S3" s="26" t="n">
        <v>46249</v>
      </c>
    </row>
    <row r="4">
      <c r="A4" s="15" t="n">
        <v>3</v>
      </c>
      <c r="B4" s="15" t="inlineStr">
        <is>
          <t>F1-TC-003</t>
        </is>
      </c>
      <c r="C4" s="15" t="inlineStr">
        <is>
          <t>F1-US1</t>
        </is>
      </c>
      <c r="D4" s="15" t="inlineStr">
        <is>
          <t>Input &amp; Places</t>
        </is>
      </c>
      <c r="E4" s="22" t="inlineStr">
        <is>
          <t>P1</t>
        </is>
      </c>
      <c r="F4" s="20" t="inlineStr">
        <is>
          <t>LIVE</t>
        </is>
      </c>
      <c r="G4" s="15" t="inlineStr">
        <is>
          <t>Đổi chiều điểm đi và điểm đến</t>
        </is>
      </c>
      <c r="H4" s="15" t="inlineStr">
        <is>
          <t>Người dùng nhập nhầm chiều Hà Nội ↔ Vinh rồi bấm nút đảo chiều.</t>
        </is>
      </c>
      <c r="I4" s="15" t="inlineStr">
        <is>
          <t>Hai điểm đã được chọn từ suggestion; SOC 80%.</t>
        </is>
      </c>
      <c r="J4" s="15" t="inlineStr">
        <is>
          <t>1. Chọn Hà Nội làm origin, Vinh làm destination.
2. Bấm đổi chiều.
3. Lập plan.</t>
        </is>
      </c>
      <c r="K4" s="15" t="inlineStr">
        <is>
          <t>Origin/destination đổi đúng cả label và tọa độ; route được tính theo chiều mới.</t>
        </is>
      </c>
      <c r="L4" s="15" t="inlineStr">
        <is>
          <t>LIVE: kiểm tra request gửi backend chứa tọa độ sau khi đảo chiều.</t>
        </is>
      </c>
      <c r="M4" s="15" t="str"/>
      <c r="N4" s="15" t="n"/>
      <c r="O4" s="15" t="n"/>
      <c r="P4" s="15" t="n"/>
      <c r="Q4" s="15" t="inlineStr">
        <is>
          <t>NOT_AUTOMATED</t>
        </is>
      </c>
      <c r="R4" s="15" t="inlineStr">
        <is>
          <t>Chưa có automated test ánh xạ trực tiếp cho toàn bộ oracle của case này.</t>
        </is>
      </c>
      <c r="S4" s="26" t="n">
        <v>46249</v>
      </c>
    </row>
    <row r="5">
      <c r="A5" s="15" t="n">
        <v>4</v>
      </c>
      <c r="B5" s="15" t="inlineStr">
        <is>
          <t>F1-TC-004</t>
        </is>
      </c>
      <c r="C5" s="15" t="inlineStr">
        <is>
          <t>F1-US1</t>
        </is>
      </c>
      <c r="D5" s="15" t="inlineStr">
        <is>
          <t>Input &amp; Places</t>
        </is>
      </c>
      <c r="E5" s="22" t="inlineStr">
        <is>
          <t>P1</t>
        </is>
      </c>
      <c r="F5" s="20" t="inlineStr">
        <is>
          <t>LIVE</t>
        </is>
      </c>
      <c r="G5" s="15" t="inlineStr">
        <is>
          <t>Tìm địa điểm bằng chuỗi không dấu / sai chính tả nhẹ</t>
        </is>
      </c>
      <c r="H5" s="15" t="inlineStr">
        <is>
          <t>Người dùng gõ 'vinh university', 'vinuni', hoặc tên địa điểm không dấu.</t>
        </is>
      </c>
      <c r="I5" s="15" t="inlineStr">
        <is>
          <t>Goong Places hoạt động.</t>
        </is>
      </c>
      <c r="J5" s="15" t="inlineStr">
        <is>
          <t>1. Nhập chuỗi gần đúng.
2. Quan sát suggestion.
3. Chọn một kết quả cụ thể.
4. Lập plan.</t>
        </is>
      </c>
      <c r="K5" s="15" t="inlineStr">
        <is>
          <t>Hệ thống chỉ dùng địa điểm mà người dùng đã chọn; không tự đoán từ text chưa xác nhận.</t>
        </is>
      </c>
      <c r="L5" s="15" t="inlineStr">
        <is>
          <t>LIVE: suggestion phụ thuộc Goong; oracle là selected Place Detail phải khớp request planner.</t>
        </is>
      </c>
      <c r="M5" s="15" t="str"/>
      <c r="N5" s="15" t="n"/>
      <c r="O5" s="15" t="n"/>
      <c r="P5" s="15" t="n"/>
      <c r="Q5" s="15" t="inlineStr">
        <is>
          <t>NOT_AUTOMATED</t>
        </is>
      </c>
      <c r="R5" s="15" t="inlineStr">
        <is>
          <t>Chưa có automated test ánh xạ trực tiếp cho toàn bộ oracle của case này.</t>
        </is>
      </c>
      <c r="S5" s="26" t="n">
        <v>46249</v>
      </c>
    </row>
    <row r="6">
      <c r="A6" s="15" t="n">
        <v>5</v>
      </c>
      <c r="B6" s="15" t="inlineStr">
        <is>
          <t>F1-TC-005</t>
        </is>
      </c>
      <c r="C6" s="15" t="inlineStr">
        <is>
          <t>F1-US1</t>
        </is>
      </c>
      <c r="D6" s="15" t="inlineStr">
        <is>
          <t>Input &amp; Places</t>
        </is>
      </c>
      <c r="E6" s="18" t="inlineStr">
        <is>
          <t>P0</t>
        </is>
      </c>
      <c r="F6" s="24" t="inlineStr">
        <is>
          <t>FIXTURE</t>
        </is>
      </c>
      <c r="G6" s="15" t="inlineStr">
        <is>
          <t>Địa điểm mơ hồ</t>
        </is>
      </c>
      <c r="H6" s="15" t="inlineStr">
        <is>
          <t>Người dùng nhập tên đường/phường có nhiều địa điểm cùng tên.</t>
        </is>
      </c>
      <c r="I6" s="15" t="inlineStr">
        <is>
          <t>Fixture Goong trả ≥2 candidate hợp lệ.</t>
        </is>
      </c>
      <c r="J6" s="15" t="inlineStr">
        <is>
          <t>1. Nhập địa chỉ mơ hồ.
2. Không chọn ngay một candidate.
3. Yêu cầu lập plan.</t>
        </is>
      </c>
      <c r="K6" s="15" t="inlineStr">
        <is>
          <t>Hệ thống yêu cầu người dùng chọn địa điểm cụ thể; không tự chọn candidate và không chạy planner với tọa độ đoán.</t>
        </is>
      </c>
      <c r="L6" s="15" t="inlineStr">
        <is>
          <t>Fixture cố định: expected = AMBIGUOUS/REQUIRES_SELECTION; provider/planner call count sau validation = 0.</t>
        </is>
      </c>
      <c r="M6" s="15" t="str"/>
      <c r="N6" s="15" t="inlineStr">
        <is>
          <t>test_create_trip_returns_ambiguous_location</t>
        </is>
      </c>
      <c r="O6" s="15" t="inlineStr">
        <is>
          <t>tests/test_api/test_trips.py</t>
        </is>
      </c>
      <c r="P6" s="15" t="inlineStr">
        <is>
          <t>API</t>
        </is>
      </c>
      <c r="Q6" s="15" t="inlineStr">
        <is>
          <t>PASS</t>
        </is>
      </c>
      <c r="R6" s="15" t="inlineStr">
        <is>
          <t>Chưa có automated test ánh xạ trực tiếp cho toàn bộ oracle của case này.</t>
        </is>
      </c>
      <c r="S6" s="26" t="n">
        <v>46249</v>
      </c>
    </row>
    <row r="7">
      <c r="A7" s="15" t="n">
        <v>6</v>
      </c>
      <c r="B7" s="15" t="inlineStr">
        <is>
          <t>F1-TC-006</t>
        </is>
      </c>
      <c r="C7" s="15" t="inlineStr">
        <is>
          <t>F1-US1</t>
        </is>
      </c>
      <c r="D7" s="15" t="inlineStr">
        <is>
          <t>Input &amp; Places</t>
        </is>
      </c>
      <c r="E7" s="18" t="inlineStr">
        <is>
          <t>P0</t>
        </is>
      </c>
      <c r="F7" s="24" t="inlineStr">
        <is>
          <t>FIXTURE</t>
        </is>
      </c>
      <c r="G7" s="15" t="inlineStr">
        <is>
          <t>Không tìm thấy địa điểm</t>
        </is>
      </c>
      <c r="H7" s="15" t="inlineStr">
        <is>
          <t>Người dùng nhập một tên địa điểm không tồn tại hoặc Place API trả zero result.</t>
        </is>
      </c>
      <c r="I7" s="15" t="inlineStr">
        <is>
          <t>Fixture Place Autocomplete trả danh sách rỗng.</t>
        </is>
      </c>
      <c r="J7" s="15" t="inlineStr">
        <is>
          <t>1. Nhập địa điểm.
2. Chờ autocomplete.
3. Thử lập kế hoạch.</t>
        </is>
      </c>
      <c r="K7" s="15" t="inlineStr">
        <is>
          <t>UI thông báo không tìm thấy/không thể xác định tọa độ; không gọi planning workflow.</t>
        </is>
      </c>
      <c r="L7" s="15" t="inlineStr">
        <is>
          <t>Fixture: zero candidate; planner call count = 0.</t>
        </is>
      </c>
      <c r="M7" s="15" t="inlineStr">
        <is>
          <t>UI đã hiển thị ‘Không tìm thấy địa điểm’; cần bổ sung frontend component test.</t>
        </is>
      </c>
      <c r="N7" s="15" t="n"/>
      <c r="O7" s="15" t="n"/>
      <c r="P7" s="15" t="n"/>
      <c r="Q7" s="15" t="inlineStr">
        <is>
          <t>NOT_AUTOMATED</t>
        </is>
      </c>
      <c r="R7" s="15" t="inlineStr">
        <is>
          <t>UI đã sửa; repository chưa có frontend component-test runner.</t>
        </is>
      </c>
      <c r="S7" s="26" t="n">
        <v>46249</v>
      </c>
    </row>
    <row r="8">
      <c r="A8" s="15" t="n">
        <v>7</v>
      </c>
      <c r="B8" s="15" t="inlineStr">
        <is>
          <t>F1-TC-007</t>
        </is>
      </c>
      <c r="C8" s="15" t="inlineStr">
        <is>
          <t>F1-US1</t>
        </is>
      </c>
      <c r="D8" s="15" t="inlineStr">
        <is>
          <t>Input &amp; Places</t>
        </is>
      </c>
      <c r="E8" s="18" t="inlineStr">
        <is>
          <t>P0</t>
        </is>
      </c>
      <c r="F8" s="24" t="inlineStr">
        <is>
          <t>FIXTURE</t>
        </is>
      </c>
      <c r="G8" s="15" t="inlineStr">
        <is>
          <t>Chỉ gõ text nhưng không chọn suggestion</t>
        </is>
      </c>
      <c r="H8" s="15" t="inlineStr">
        <is>
          <t>Người dùng gõ 'Vinh' nhưng không click kết quả Goong.</t>
        </is>
      </c>
      <c r="I8" s="15" t="inlineStr">
        <is>
          <t>Text field có chữ nhưng chưa có Place Detail/toạ độ.</t>
        </is>
      </c>
      <c r="J8" s="15" t="inlineStr">
        <is>
          <t>1. Gõ địa điểm.
2. Click ra ngoài.
3. Bấm lập kế hoạch.</t>
        </is>
      </c>
      <c r="K8" s="15" t="inlineStr">
        <is>
          <t>Hệ thống không coi text chưa resolve là tọa độ xác nhận; yêu cầu chọn suggestion hoặc resolve rõ ràng.</t>
        </is>
      </c>
      <c r="L8" s="15" t="inlineStr">
        <is>
          <t>Fixture/UI state: thiếu resolved location → validation fail; planner call count = 0.</t>
        </is>
      </c>
      <c r="M8" s="15" t="str"/>
      <c r="N8" s="15" t="n"/>
      <c r="O8" s="15" t="n"/>
      <c r="P8" s="15" t="n"/>
      <c r="Q8" s="15" t="inlineStr">
        <is>
          <t>NOT_AUTOMATED</t>
        </is>
      </c>
      <c r="R8" s="15" t="inlineStr">
        <is>
          <t>Chưa có automated test ánh xạ trực tiếp cho toàn bộ oracle của case này.</t>
        </is>
      </c>
      <c r="S8" s="26" t="n">
        <v>46249</v>
      </c>
    </row>
    <row r="9">
      <c r="A9" s="15" t="n">
        <v>8</v>
      </c>
      <c r="B9" s="15" t="inlineStr">
        <is>
          <t>F1-TC-008</t>
        </is>
      </c>
      <c r="C9" s="15" t="inlineStr">
        <is>
          <t>F1-US1</t>
        </is>
      </c>
      <c r="D9" s="15" t="inlineStr">
        <is>
          <t>Input Validation</t>
        </is>
      </c>
      <c r="E9" s="18" t="inlineStr">
        <is>
          <t>P0</t>
        </is>
      </c>
      <c r="F9" s="24" t="inlineStr">
        <is>
          <t>FIXTURE</t>
        </is>
      </c>
      <c r="G9" s="15" t="inlineStr">
        <is>
          <t>Thiếu điểm xuất phát</t>
        </is>
      </c>
      <c r="H9" s="15" t="inlineStr">
        <is>
          <t>Người dùng nhập destination và SOC nhưng bỏ trống origin.</t>
        </is>
      </c>
      <c r="I9" s="15" t="inlineStr">
        <is>
          <t>Destination hợp lệ; SOC 60%.</t>
        </is>
      </c>
      <c r="J9" s="15" t="inlineStr">
        <is>
          <t>1. Để trống origin.
2. Bấm lập kế hoạch.</t>
        </is>
      </c>
      <c r="K9" s="15" t="inlineStr">
        <is>
          <t>Validation hiển thị lỗi tại origin; không gọi Goong Directions/VinFast/Open-Meteo/planner.</t>
        </is>
      </c>
      <c r="L9" s="15" t="inlineStr">
        <is>
          <t>Provider call count = 0; không tạo PlanProposal.</t>
        </is>
      </c>
      <c r="M9" s="15" t="str"/>
      <c r="N9" s="15" t="n"/>
      <c r="O9" s="15" t="n"/>
      <c r="P9" s="15" t="n"/>
      <c r="Q9" s="15" t="inlineStr">
        <is>
          <t>NOT_AUTOMATED</t>
        </is>
      </c>
      <c r="R9" s="15" t="inlineStr">
        <is>
          <t>Chưa có automated test ánh xạ trực tiếp cho toàn bộ oracle của case này.</t>
        </is>
      </c>
      <c r="S9" s="26" t="n">
        <v>46249</v>
      </c>
    </row>
    <row r="10">
      <c r="A10" s="15" t="n">
        <v>9</v>
      </c>
      <c r="B10" s="15" t="inlineStr">
        <is>
          <t>F1-TC-009</t>
        </is>
      </c>
      <c r="C10" s="15" t="inlineStr">
        <is>
          <t>F1-US1</t>
        </is>
      </c>
      <c r="D10" s="15" t="inlineStr">
        <is>
          <t>Input Validation</t>
        </is>
      </c>
      <c r="E10" s="18" t="inlineStr">
        <is>
          <t>P0</t>
        </is>
      </c>
      <c r="F10" s="24" t="inlineStr">
        <is>
          <t>FIXTURE</t>
        </is>
      </c>
      <c r="G10" s="15" t="inlineStr">
        <is>
          <t>Thiếu điểm đến</t>
        </is>
      </c>
      <c r="H10" s="15" t="inlineStr">
        <is>
          <t>Người dùng nhập origin và SOC nhưng bỏ trống destination.</t>
        </is>
      </c>
      <c r="I10" s="15" t="inlineStr">
        <is>
          <t>Origin hợp lệ; SOC 60%.</t>
        </is>
      </c>
      <c r="J10" s="15" t="inlineStr">
        <is>
          <t>1. Để trống destination.
2. Bấm lập kế hoạch.</t>
        </is>
      </c>
      <c r="K10" s="15" t="inlineStr">
        <is>
          <t>Validation hiển thị lỗi tại destination; không chạy planner.</t>
        </is>
      </c>
      <c r="L10" s="15" t="inlineStr">
        <is>
          <t>Provider call count = 0.</t>
        </is>
      </c>
      <c r="M10" s="15" t="str"/>
      <c r="N10" s="15" t="n"/>
      <c r="O10" s="15" t="n"/>
      <c r="P10" s="15" t="n"/>
      <c r="Q10" s="15" t="inlineStr">
        <is>
          <t>NOT_AUTOMATED</t>
        </is>
      </c>
      <c r="R10" s="15" t="inlineStr">
        <is>
          <t>Chưa có automated test ánh xạ trực tiếp cho toàn bộ oracle của case này.</t>
        </is>
      </c>
      <c r="S10" s="26" t="n">
        <v>46249</v>
      </c>
    </row>
    <row r="11">
      <c r="A11" s="15" t="n">
        <v>10</v>
      </c>
      <c r="B11" s="15" t="inlineStr">
        <is>
          <t>F1-TC-010</t>
        </is>
      </c>
      <c r="C11" s="15" t="inlineStr">
        <is>
          <t>F1-US1</t>
        </is>
      </c>
      <c r="D11" s="15" t="inlineStr">
        <is>
          <t>Input Validation</t>
        </is>
      </c>
      <c r="E11" s="18" t="inlineStr">
        <is>
          <t>P0</t>
        </is>
      </c>
      <c r="F11" s="24" t="inlineStr">
        <is>
          <t>FIXTURE</t>
        </is>
      </c>
      <c r="G11" s="15" t="inlineStr">
        <is>
          <t>API từ chối request thiếu SOC</t>
        </is>
      </c>
      <c r="H11" s="15" t="inlineStr">
        <is>
          <t>Client/API gửi yêu cầu tạo trip nhưng không có initial_soc_percent.</t>
        </is>
      </c>
      <c r="I11" s="15" t="inlineStr">
        <is>
          <t>Origin/destination hợp lệ; bỏ field initial_soc_percent khỏi request.</t>
        </is>
      </c>
      <c r="J11" s="15" t="inlineStr">
        <is>
          <t>1. POST /api/v1/trips không có initial_soc_percent.
2. Kiểm tra response và provider call count.</t>
        </is>
      </c>
      <c r="K11" s="15" t="inlineStr">
        <is>
          <t>API trả VALIDATION_ERROR; không tạo trip và không gọi planning workflow.</t>
        </is>
      </c>
      <c r="L11" s="15" t="inlineStr">
        <is>
          <t>HTTP 400; error.code=VALIDATION_ERROR; planner call count=0.</t>
        </is>
      </c>
      <c r="M11" s="15" t="inlineStr">
        <is>
          <t>Frontend luôn có SOC mặc định; đây là API/schema test.</t>
        </is>
      </c>
      <c r="N11" s="15" t="inlineStr">
        <is>
          <t>test_create_trip_rejects_missing_soc_at_api_boundary</t>
        </is>
      </c>
      <c r="O11" s="15" t="inlineStr">
        <is>
          <t>tests/test_api/test_trips.py</t>
        </is>
      </c>
      <c r="P11" s="15" t="inlineStr">
        <is>
          <t>API</t>
        </is>
      </c>
      <c r="Q11" s="15" t="inlineStr">
        <is>
          <t>PASS</t>
        </is>
      </c>
      <c r="R11" s="15" t="inlineStr">
        <is>
          <t>Chưa có automated test ánh xạ trực tiếp cho toàn bộ oracle của case này.</t>
        </is>
      </c>
      <c r="S11" s="26" t="n">
        <v>46249</v>
      </c>
    </row>
    <row r="12">
      <c r="A12" s="15" t="n">
        <v>11</v>
      </c>
      <c r="B12" s="15" t="inlineStr">
        <is>
          <t>F1-TC-011</t>
        </is>
      </c>
      <c r="C12" s="15" t="inlineStr">
        <is>
          <t>F1-US1</t>
        </is>
      </c>
      <c r="D12" s="15" t="inlineStr">
        <is>
          <t>Input Validation</t>
        </is>
      </c>
      <c r="E12" s="18" t="inlineStr">
        <is>
          <t>P0</t>
        </is>
      </c>
      <c r="F12" s="24" t="inlineStr">
        <is>
          <t>FIXTURE</t>
        </is>
      </c>
      <c r="G12" s="15" t="inlineStr">
        <is>
          <t>SOC = 0%</t>
        </is>
      </c>
      <c r="H12" s="15" t="inlineStr">
        <is>
          <t>Người dùng nhập SOC không hợp lệ.</t>
        </is>
      </c>
      <c r="I12" s="15" t="inlineStr">
        <is>
          <t>Origin/destination hợp lệ.</t>
        </is>
      </c>
      <c r="J12" s="15" t="inlineStr">
        <is>
          <t>1. Nhập SOC 0.
2. Bấm lập kế hoạch.</t>
        </is>
      </c>
      <c r="K12" s="15" t="inlineStr">
        <is>
          <t>Input bị từ chối tại validation; không được biến thành INFEASIBLE do planner.</t>
        </is>
      </c>
      <c r="L12" s="15" t="inlineStr">
        <is>
          <t>Validation error; planner/provider call count = 0.</t>
        </is>
      </c>
      <c r="M12" s="15" t="inlineStr">
        <is>
          <t>Ngưỡng input cụ thể nên theo implementation hiện hành.</t>
        </is>
      </c>
      <c r="N12" s="15" t="inlineStr">
        <is>
          <t>test_create_trip_rejects_invalid_soc</t>
        </is>
      </c>
      <c r="O12" s="15" t="inlineStr">
        <is>
          <t>tests/test_api/test_trips.py</t>
        </is>
      </c>
      <c r="P12" s="15" t="inlineStr">
        <is>
          <t>API</t>
        </is>
      </c>
      <c r="Q12" s="15" t="inlineStr">
        <is>
          <t>PASS</t>
        </is>
      </c>
      <c r="R12" s="15" t="inlineStr">
        <is>
          <t>Chưa có automated test ánh xạ trực tiếp cho toàn bộ oracle của case này.</t>
        </is>
      </c>
      <c r="S12" s="26" t="n">
        <v>46249</v>
      </c>
    </row>
    <row r="13">
      <c r="A13" s="15" t="n">
        <v>12</v>
      </c>
      <c r="B13" s="15" t="inlineStr">
        <is>
          <t>F1-TC-012</t>
        </is>
      </c>
      <c r="C13" s="15" t="inlineStr">
        <is>
          <t>F1-US1</t>
        </is>
      </c>
      <c r="D13" s="15" t="inlineStr">
        <is>
          <t>Input Validation</t>
        </is>
      </c>
      <c r="E13" s="18" t="inlineStr">
        <is>
          <t>P0</t>
        </is>
      </c>
      <c r="F13" s="24" t="inlineStr">
        <is>
          <t>FIXTURE</t>
        </is>
      </c>
      <c r="G13" s="15" t="inlineStr">
        <is>
          <t>SOC &gt; 100%</t>
        </is>
      </c>
      <c r="H13" s="15" t="inlineStr">
        <is>
          <t>Người dùng nhập 101% hoặc 150%.</t>
        </is>
      </c>
      <c r="I13" s="15" t="inlineStr">
        <is>
          <t>Origin/destination hợp lệ.</t>
        </is>
      </c>
      <c r="J13" s="15" t="inlineStr">
        <is>
          <t>1. Nhập SOC 101.
2. Bấm lập kế hoạch.</t>
        </is>
      </c>
      <c r="K13" s="15" t="inlineStr">
        <is>
          <t>Input bị từ chối; hiển thị lỗi rõ ràng; không gọi planner.</t>
        </is>
      </c>
      <c r="L13" s="15" t="inlineStr">
        <is>
          <t>Validation error; provider call count = 0.</t>
        </is>
      </c>
      <c r="M13" s="15" t="str"/>
      <c r="N13" s="15" t="n"/>
      <c r="O13" s="15" t="n"/>
      <c r="P13" s="15" t="n"/>
      <c r="Q13" s="15" t="inlineStr">
        <is>
          <t>NOT_AUTOMATED</t>
        </is>
      </c>
      <c r="R13" s="15" t="inlineStr">
        <is>
          <t>Chưa có automated test ánh xạ trực tiếp cho toàn bộ oracle của case này.</t>
        </is>
      </c>
      <c r="S13" s="26" t="n">
        <v>46249</v>
      </c>
    </row>
    <row r="14">
      <c r="A14" s="15" t="n">
        <v>13</v>
      </c>
      <c r="B14" s="15" t="inlineStr">
        <is>
          <t>F1-TC-013</t>
        </is>
      </c>
      <c r="C14" s="15" t="inlineStr">
        <is>
          <t>F1-US1</t>
        </is>
      </c>
      <c r="D14" s="15" t="inlineStr">
        <is>
          <t>Input Validation</t>
        </is>
      </c>
      <c r="E14" s="22" t="inlineStr">
        <is>
          <t>P1</t>
        </is>
      </c>
      <c r="F14" s="24" t="inlineStr">
        <is>
          <t>FIXTURE</t>
        </is>
      </c>
      <c r="G14" s="15" t="inlineStr">
        <is>
          <t>SOC là số thập phân hợp lệ</t>
        </is>
      </c>
      <c r="H14" s="15" t="inlineStr">
        <is>
          <t>Xe báo 60,5% và người dùng nhập giá trị thập phân.</t>
        </is>
      </c>
      <c r="I14" s="15" t="inlineStr">
        <is>
          <t>SOC schema hỗ trợ number.</t>
        </is>
      </c>
      <c r="J14" s="15" t="inlineStr">
        <is>
          <t>1. Nhập 60.5.
2. Lập plan.</t>
        </is>
      </c>
      <c r="K14" s="15" t="inlineStr">
        <is>
          <t>Giá trị không bị làm tròn sai trước khi tính; backend nhận đúng số theo contract.</t>
        </is>
      </c>
      <c r="L14" s="15" t="inlineStr">
        <is>
          <t>Request/response fixture: initial SOC giữ đúng precision theo schema.</t>
        </is>
      </c>
      <c r="M14" s="15" t="str"/>
      <c r="N14" s="15" t="n"/>
      <c r="O14" s="15" t="n"/>
      <c r="P14" s="15" t="n"/>
      <c r="Q14" s="15" t="inlineStr">
        <is>
          <t>NOT_AUTOMATED</t>
        </is>
      </c>
      <c r="R14" s="15" t="inlineStr">
        <is>
          <t>Chưa có automated test ánh xạ trực tiếp cho toàn bộ oracle của case này.</t>
        </is>
      </c>
      <c r="S14" s="26" t="n">
        <v>46249</v>
      </c>
    </row>
    <row r="15">
      <c r="A15" s="15" t="n">
        <v>14</v>
      </c>
      <c r="B15" s="15" t="inlineStr">
        <is>
          <t>F1-TC-014</t>
        </is>
      </c>
      <c r="C15" s="15" t="inlineStr">
        <is>
          <t>F1-US1</t>
        </is>
      </c>
      <c r="D15" s="15" t="inlineStr">
        <is>
          <t>Input Validation</t>
        </is>
      </c>
      <c r="E15" s="22" t="inlineStr">
        <is>
          <t>P1</t>
        </is>
      </c>
      <c r="F15" s="24" t="inlineStr">
        <is>
          <t>FIXTURE</t>
        </is>
      </c>
      <c r="G15" s="15" t="inlineStr">
        <is>
          <t>Điểm đi trùng điểm đến</t>
        </is>
      </c>
      <c r="H15" s="15" t="inlineStr">
        <is>
          <t>Người dùng chọn cùng một Place Detail cho origin và destination.</t>
        </is>
      </c>
      <c r="I15" s="15" t="inlineStr">
        <is>
          <t>Origin và destination có cùng tọa độ.</t>
        </is>
      </c>
      <c r="J15" s="15" t="inlineStr">
        <is>
          <t>1. Chọn cùng địa điểm cho cả hai ô.
2. Lập plan.</t>
        </is>
      </c>
      <c r="K15" s="15" t="inlineStr">
        <is>
          <t>API từ chối có chủ đích; không gọi Goong Directions, station provider hoặc tạo plan.</t>
        </is>
      </c>
      <c r="L15" s="15" t="inlineStr">
        <is>
          <t>HTTP 422; error.code=VALIDATION_ERROR; details.reason=SAME_ORIGIN_DESTINATION.</t>
        </is>
      </c>
      <c r="M15" s="15" t="inlineStr">
        <is>
          <t>Behavior đã được chốt trong contract.</t>
        </is>
      </c>
      <c r="N15" s="15" t="inlineStr">
        <is>
          <t>test_create_trip_rejects_same_origin_and_destination</t>
        </is>
      </c>
      <c r="O15" s="15" t="inlineStr">
        <is>
          <t>tests/test_api/test_trips.py</t>
        </is>
      </c>
      <c r="P15" s="15" t="inlineStr">
        <is>
          <t>API</t>
        </is>
      </c>
      <c r="Q15" s="15" t="inlineStr">
        <is>
          <t>PASS</t>
        </is>
      </c>
      <c r="R15" s="15" t="inlineStr">
        <is>
          <t>Chưa có automated test ánh xạ trực tiếp cho toàn bộ oracle của case này.</t>
        </is>
      </c>
      <c r="S15" s="26" t="n">
        <v>46249</v>
      </c>
    </row>
    <row r="16">
      <c r="A16" s="15" t="n">
        <v>15</v>
      </c>
      <c r="B16" s="15" t="inlineStr">
        <is>
          <t>F1-TC-015</t>
        </is>
      </c>
      <c r="C16" s="15" t="inlineStr">
        <is>
          <t>F1-US1</t>
        </is>
      </c>
      <c r="D16" s="15" t="inlineStr">
        <is>
          <t>Input &amp; Places</t>
        </is>
      </c>
      <c r="E16" s="22" t="inlineStr">
        <is>
          <t>P1</t>
        </is>
      </c>
      <c r="F16" s="20" t="inlineStr">
        <is>
          <t>LIVE</t>
        </is>
      </c>
      <c r="G16" s="15" t="inlineStr">
        <is>
          <t>Người dùng từ chối quyền GPS</t>
        </is>
      </c>
      <c r="H16" s="15" t="inlineStr">
        <is>
          <t>Người dùng bấm lấy vị trí hiện tại nhưng browser từ chối quyền.</t>
        </is>
      </c>
      <c r="I16" s="15" t="inlineStr">
        <is>
          <t>Browser permission = denied.</t>
        </is>
      </c>
      <c r="J16" s="15" t="inlineStr">
        <is>
          <t>1. Bấm lấy GPS.
2. Chọn Deny.
3. Tiếp tục nhập origin thủ công.</t>
        </is>
      </c>
      <c r="K16" s="15" t="inlineStr">
        <is>
          <t>UI báo không lấy được GPS nhưng vẫn cho nhập origin bằng Places; ứng dụng không treo.</t>
        </is>
      </c>
      <c r="L16" s="15" t="inlineStr">
        <is>
          <t>LIVE browser behavior; không ảnh hưởng Goong Places thủ công.</t>
        </is>
      </c>
      <c r="M16" s="15" t="str"/>
      <c r="N16" s="15" t="n"/>
      <c r="O16" s="15" t="n"/>
      <c r="P16" s="15" t="n"/>
      <c r="Q16" s="15" t="inlineStr">
        <is>
          <t>NOT_AUTOMATED</t>
        </is>
      </c>
      <c r="R16" s="15" t="inlineStr">
        <is>
          <t>Chưa có automated test ánh xạ trực tiếp cho toàn bộ oracle của case này.</t>
        </is>
      </c>
      <c r="S16" s="26" t="n">
        <v>46249</v>
      </c>
    </row>
    <row r="17">
      <c r="A17" s="15" t="n">
        <v>16</v>
      </c>
      <c r="B17" s="15" t="inlineStr">
        <is>
          <t>F1-TC-016</t>
        </is>
      </c>
      <c r="C17" s="15" t="inlineStr">
        <is>
          <t>F1-US1</t>
        </is>
      </c>
      <c r="D17" s="15" t="inlineStr">
        <is>
          <t>Provider Failure</t>
        </is>
      </c>
      <c r="E17" s="18" t="inlineStr">
        <is>
          <t>P0</t>
        </is>
      </c>
      <c r="F17" s="24" t="inlineStr">
        <is>
          <t>FIXTURE</t>
        </is>
      </c>
      <c r="G17" s="15" t="inlineStr">
        <is>
          <t>Goong Places timeout</t>
        </is>
      </c>
      <c r="H17" s="15" t="inlineStr">
        <is>
          <t>Autocomplete/Place Detail chậm hoặc lỗi mạng.</t>
        </is>
      </c>
      <c r="I17" s="15" t="inlineStr">
        <is>
          <t>Mock Goong Places timeout/5xx.</t>
        </is>
      </c>
      <c r="J17" s="15" t="inlineStr">
        <is>
          <t>1. Gõ địa điểm.
2. Provider timeout.
3. Thử lại hoặc đổi input.</t>
        </is>
      </c>
      <c r="K17" s="15" t="inlineStr">
        <is>
          <t>UI báo lỗi provider phù hợp; REST key không lộ; không tự sinh tọa độ.</t>
        </is>
      </c>
      <c r="L17" s="15" t="inlineStr">
        <is>
          <t>Mock timeout → normalized error; no fake coordinates.</t>
        </is>
      </c>
      <c r="M17" s="15" t="str"/>
      <c r="N17" s="15" t="n"/>
      <c r="O17" s="15" t="n"/>
      <c r="P17" s="15" t="n"/>
      <c r="Q17" s="15" t="inlineStr">
        <is>
          <t>NOT_AUTOMATED</t>
        </is>
      </c>
      <c r="R17" s="15" t="inlineStr">
        <is>
          <t>Chưa có automated test ánh xạ trực tiếp cho toàn bộ oracle của case này.</t>
        </is>
      </c>
      <c r="S17" s="26" t="n">
        <v>46249</v>
      </c>
    </row>
    <row r="18">
      <c r="A18" s="15" t="n">
        <v>17</v>
      </c>
      <c r="B18" s="15" t="inlineStr">
        <is>
          <t>F1-TC-017</t>
        </is>
      </c>
      <c r="C18" s="15" t="inlineStr">
        <is>
          <t>F1-US1</t>
        </is>
      </c>
      <c r="D18" s="15" t="inlineStr">
        <is>
          <t>Provider Failure</t>
        </is>
      </c>
      <c r="E18" s="18" t="inlineStr">
        <is>
          <t>P0</t>
        </is>
      </c>
      <c r="F18" s="24" t="inlineStr">
        <is>
          <t>FIXTURE</t>
        </is>
      </c>
      <c r="G18" s="15" t="inlineStr">
        <is>
          <t>Place Detail trả payload thiếu tọa độ</t>
        </is>
      </c>
      <c r="H18" s="15" t="inlineStr">
        <is>
          <t>Autocomplete có suggestion nhưng detail response hỏng/thiếu lat-lng.</t>
        </is>
      </c>
      <c r="I18" s="15" t="inlineStr">
        <is>
          <t>Mock Place Detail malformed response.</t>
        </is>
      </c>
      <c r="J18" s="15" t="inlineStr">
        <is>
          <t>1. Chọn suggestion.
2. Backend nhận payload thiếu dữ liệu bắt buộc.</t>
        </is>
      </c>
      <c r="K18" s="15" t="inlineStr">
        <is>
          <t>Fail closed; không đưa location thiếu tọa độ vào planner.</t>
        </is>
      </c>
      <c r="L18" s="15" t="inlineStr">
        <is>
          <t>Expected provider/validation failure; planner call count = 0.</t>
        </is>
      </c>
      <c r="M18" s="15" t="str"/>
      <c r="N18" s="15" t="n"/>
      <c r="O18" s="15" t="n"/>
      <c r="P18" s="15" t="n"/>
      <c r="Q18" s="15" t="inlineStr">
        <is>
          <t>NOT_AUTOMATED</t>
        </is>
      </c>
      <c r="R18" s="15" t="inlineStr">
        <is>
          <t>Chưa có automated test ánh xạ trực tiếp cho toàn bộ oracle của case này.</t>
        </is>
      </c>
      <c r="S18" s="26" t="n">
        <v>46249</v>
      </c>
    </row>
    <row r="19">
      <c r="A19" s="15" t="n">
        <v>18</v>
      </c>
      <c r="B19" s="15" t="inlineStr">
        <is>
          <t>F1-TC-018</t>
        </is>
      </c>
      <c r="C19" s="15" t="inlineStr">
        <is>
          <t>F1-US2</t>
        </is>
      </c>
      <c r="D19" s="15" t="inlineStr">
        <is>
          <t>Assumptions</t>
        </is>
      </c>
      <c r="E19" s="18" t="inlineStr">
        <is>
          <t>P0</t>
        </is>
      </c>
      <c r="F19" s="20" t="inlineStr">
        <is>
          <t>LIVE</t>
        </is>
      </c>
      <c r="G19" s="15" t="inlineStr">
        <is>
          <t>Hiển thị reserve SOC 15%</t>
        </is>
      </c>
      <c r="H19" s="15" t="inlineStr">
        <is>
          <t>Người dùng cần biết ngưỡng an toàn đang áp dụng.</t>
        </is>
      </c>
      <c r="I19" s="15" t="inlineStr">
        <is>
          <t>Tạo một plan bất kỳ thành công.</t>
        </is>
      </c>
      <c r="J19" s="15" t="inlineStr">
        <is>
          <t>1. Lập plan.
2. Mở khu vực giả định/thông số.</t>
        </is>
      </c>
      <c r="K19" s="15" t="inlineStr">
        <is>
          <t>UI hiển thị reserve 15% rõ ràng và mô tả đây là giả định/policy pilot, không phải khuyến nghị chung cho mọi xe.</t>
        </is>
      </c>
      <c r="L19" s="15" t="inlineStr">
        <is>
          <t>Expected exact reserve = 15%.</t>
        </is>
      </c>
      <c r="M19" s="15" t="str"/>
      <c r="N19" s="15" t="inlineStr">
        <is>
          <t>test_get_current_assumptions_returns_versioned_policy_snapshot</t>
        </is>
      </c>
      <c r="O19" s="15" t="inlineStr">
        <is>
          <t>tests/test_api/test_trips.py</t>
        </is>
      </c>
      <c r="P19" s="15" t="inlineStr">
        <is>
          <t>API</t>
        </is>
      </c>
      <c r="Q19" s="15" t="inlineStr">
        <is>
          <t>NOT_AUTOMATED</t>
        </is>
      </c>
      <c r="R19" s="15" t="inlineStr">
        <is>
          <t>Có test fixture liên quan nhưng LIVE smoke này chưa được tự động hóa end-to-end.</t>
        </is>
      </c>
      <c r="S19" s="26" t="n">
        <v>46249</v>
      </c>
    </row>
    <row r="20">
      <c r="A20" s="15" t="n">
        <v>19</v>
      </c>
      <c r="B20" s="15" t="inlineStr">
        <is>
          <t>F1-TC-019</t>
        </is>
      </c>
      <c r="C20" s="15" t="inlineStr">
        <is>
          <t>F1-US2</t>
        </is>
      </c>
      <c r="D20" s="15" t="inlineStr">
        <is>
          <t>Vehicle Profile</t>
        </is>
      </c>
      <c r="E20" s="18" t="inlineStr">
        <is>
          <t>P0</t>
        </is>
      </c>
      <c r="F20" s="20" t="inlineStr">
        <is>
          <t>LIVE</t>
        </is>
      </c>
      <c r="G20" s="15" t="inlineStr">
        <is>
          <t>Hiển thị đúng profile VinFast VF 6 Plus</t>
        </is>
      </c>
      <c r="H20" s="15" t="inlineStr">
        <is>
          <t>Người dùng cần biết hệ thống đang tính cho mẫu xe nào.</t>
        </is>
      </c>
      <c r="I20" s="15" t="inlineStr">
        <is>
          <t>Vehicle profile backend hiện hành.</t>
        </is>
      </c>
      <c r="J20" s="15" t="inlineStr">
        <is>
          <t>1. Lập plan.
2. Kiểm tra thẻ thông số xe.</t>
        </is>
      </c>
      <c r="K20" s="15" t="inlineStr">
        <is>
          <t>Hiển thị VF 6 Plus, pin 59,6 kWh, CCS2, max DC 100 kW và version/profile source; không dùng số giả cũ.</t>
        </is>
      </c>
      <c r="L20" s="15" t="inlineStr">
        <is>
          <t>So với vehicle profile backend version hóa.</t>
        </is>
      </c>
      <c r="M20" s="15" t="str"/>
      <c r="N20" s="15" t="inlineStr">
        <is>
          <t>test_vf6_profile_exposes_planning_and_official_vehicle_specs</t>
        </is>
      </c>
      <c r="O20" s="15" t="inlineStr">
        <is>
          <t>tests/test_api/test_trips.py</t>
        </is>
      </c>
      <c r="P20" s="15" t="inlineStr">
        <is>
          <t>API</t>
        </is>
      </c>
      <c r="Q20" s="15" t="inlineStr">
        <is>
          <t>NOT_AUTOMATED</t>
        </is>
      </c>
      <c r="R20" s="15" t="inlineStr">
        <is>
          <t>Có test fixture liên quan nhưng LIVE smoke này chưa được tự động hóa end-to-end.</t>
        </is>
      </c>
      <c r="S20" s="26" t="n">
        <v>46249</v>
      </c>
    </row>
    <row r="21">
      <c r="A21" s="15" t="n">
        <v>20</v>
      </c>
      <c r="B21" s="15" t="inlineStr">
        <is>
          <t>F1-TC-020</t>
        </is>
      </c>
      <c r="C21" s="15" t="inlineStr">
        <is>
          <t>F1-US2</t>
        </is>
      </c>
      <c r="D21" s="15" t="inlineStr">
        <is>
          <t>Assumptions</t>
        </is>
      </c>
      <c r="E21" s="22" t="inlineStr">
        <is>
          <t>P1</t>
        </is>
      </c>
      <c r="F21" s="20" t="inlineStr">
        <is>
          <t>LIVE</t>
        </is>
      </c>
      <c r="G21" s="15" t="inlineStr">
        <is>
          <t>Môi trường thực tế được dùng trong phép tính</t>
        </is>
      </c>
      <c r="H21" s="15" t="inlineStr">
        <is>
          <t>Cùng tuyến nhưng điều kiện thời tiết hiện tại khác nhau.</t>
        </is>
      </c>
      <c r="I21" s="15" t="inlineStr">
        <is>
          <t>Open-Meteo hoạt động.</t>
        </is>
      </c>
      <c r="J21" s="15" t="inlineStr">
        <is>
          <t>1. Lập plan.
2. Mở panel nguồn dữ liệu.
3. Kiểm tra nhiệt độ, mưa, gió, độ cao và effective consumption.</t>
        </is>
      </c>
      <c r="K21" s="15" t="inlineStr">
        <is>
          <t>Các giá trị môi trường có provenance/timestamp; effective consumption phản ánh input môi trường theo model.</t>
        </is>
      </c>
      <c r="L21" s="15" t="inlineStr">
        <is>
          <t>LIVE: không cố định con số; assert field đầy đủ, timestamp hợp lệ và effective consumption được backend trả.</t>
        </is>
      </c>
      <c r="M21" s="15" t="str"/>
      <c r="N21" s="15" t="n"/>
      <c r="O21" s="15" t="n"/>
      <c r="P21" s="15" t="n"/>
      <c r="Q21" s="15" t="inlineStr">
        <is>
          <t>NOT_AUTOMATED</t>
        </is>
      </c>
      <c r="R21" s="15" t="inlineStr">
        <is>
          <t>Chưa có automated test ánh xạ trực tiếp cho toàn bộ oracle của case này.</t>
        </is>
      </c>
      <c r="S21" s="26" t="n">
        <v>46249</v>
      </c>
    </row>
    <row r="22">
      <c r="A22" s="15" t="n">
        <v>21</v>
      </c>
      <c r="B22" s="15" t="inlineStr">
        <is>
          <t>F1-TC-021</t>
        </is>
      </c>
      <c r="C22" s="15" t="inlineStr">
        <is>
          <t>F1-US2</t>
        </is>
      </c>
      <c r="D22" s="15" t="inlineStr">
        <is>
          <t>Data Provenance</t>
        </is>
      </c>
      <c r="E22" s="18" t="inlineStr">
        <is>
          <t>P0</t>
        </is>
      </c>
      <c r="F22" s="20" t="inlineStr">
        <is>
          <t>LIVE</t>
        </is>
      </c>
      <c r="G22" s="15" t="inlineStr">
        <is>
          <t>Nguồn route được hiển thị đúng</t>
        </is>
      </c>
      <c r="H22" s="15" t="inlineStr">
        <is>
          <t>Mentor cần biết route đang lấy thật từ đâu.</t>
        </is>
      </c>
      <c r="I22" s="15" t="inlineStr">
        <is>
          <t>Goong Directions thành công.</t>
        </is>
      </c>
      <c r="J22" s="15" t="inlineStr">
        <is>
          <t>1. Lập plan.
2. Mở nguồn dữ liệu.</t>
        </is>
      </c>
      <c r="K22" s="15" t="inlineStr">
        <is>
          <t>Route hiển thị provider Goong, retrieved_at/source metadata; không gắn nhãn cached/simulated sai.</t>
        </is>
      </c>
      <c r="L22" s="15" t="inlineStr">
        <is>
          <t>Response route.provider/source/retrieved_at khớp UI.</t>
        </is>
      </c>
      <c r="M22" s="15" t="str"/>
      <c r="N22" s="15" t="n"/>
      <c r="O22" s="15" t="n"/>
      <c r="P22" s="15" t="n"/>
      <c r="Q22" s="15" t="inlineStr">
        <is>
          <t>NOT_AUTOMATED</t>
        </is>
      </c>
      <c r="R22" s="15" t="inlineStr">
        <is>
          <t>Chưa có automated test ánh xạ trực tiếp cho toàn bộ oracle của case này.</t>
        </is>
      </c>
      <c r="S22" s="26" t="n">
        <v>46249</v>
      </c>
    </row>
    <row r="23">
      <c r="A23" s="15" t="n">
        <v>22</v>
      </c>
      <c r="B23" s="15" t="inlineStr">
        <is>
          <t>F1-TC-022</t>
        </is>
      </c>
      <c r="C23" s="15" t="inlineStr">
        <is>
          <t>F1-US2</t>
        </is>
      </c>
      <c r="D23" s="15" t="inlineStr">
        <is>
          <t>Data Provenance</t>
        </is>
      </c>
      <c r="E23" s="18" t="inlineStr">
        <is>
          <t>P0</t>
        </is>
      </c>
      <c r="F23" s="20" t="inlineStr">
        <is>
          <t>LIVE</t>
        </is>
      </c>
      <c r="G23" s="15" t="inlineStr">
        <is>
          <t>Nguồn trạm và freshness dùng thời điểm nguồn cập nhật</t>
        </is>
      </c>
      <c r="H23" s="15" t="inlineStr">
        <is>
          <t>Backend vừa tải VinFast Locator nhưng bản thân dữ liệu trạm có timestamp riêng.</t>
        </is>
      </c>
      <c r="I23" s="15" t="inlineStr">
        <is>
          <t>VinFast Locator detail có source_updated_at.</t>
        </is>
      </c>
      <c r="J23" s="15" t="inlineStr">
        <is>
          <t>1. Lập plan.
2. Mở chi tiết station.
3. So retrieved_at với station_updated_at/freshness.</t>
        </is>
      </c>
      <c r="K23" s="15" t="inlineStr">
        <is>
          <t>Freshness được tính từ source_updated_at của trạm, không lấy thời điểm backend vừa fetch để giả làm dữ liệu mới.</t>
        </is>
      </c>
      <c r="L23" s="15" t="inlineStr">
        <is>
          <t>Compare freshness against station_updated_at/source timestamp.</t>
        </is>
      </c>
      <c r="M23" s="15" t="str"/>
      <c r="N23" s="15" t="n"/>
      <c r="O23" s="15" t="n"/>
      <c r="P23" s="15" t="n"/>
      <c r="Q23" s="15" t="inlineStr">
        <is>
          <t>NOT_AUTOMATED</t>
        </is>
      </c>
      <c r="R23" s="15" t="inlineStr">
        <is>
          <t>Chưa có automated test ánh xạ trực tiếp cho toàn bộ oracle của case này.</t>
        </is>
      </c>
      <c r="S23" s="26" t="n">
        <v>46249</v>
      </c>
    </row>
    <row r="24">
      <c r="A24" s="15" t="n">
        <v>23</v>
      </c>
      <c r="B24" s="15" t="inlineStr">
        <is>
          <t>F1-TC-023</t>
        </is>
      </c>
      <c r="C24" s="15" t="inlineStr">
        <is>
          <t>F1-US2</t>
        </is>
      </c>
      <c r="D24" s="15" t="inlineStr">
        <is>
          <t>Data Transparency</t>
        </is>
      </c>
      <c r="E24" s="18" t="inlineStr">
        <is>
          <t>P0</t>
        </is>
      </c>
      <c r="F24" s="20" t="inlineStr">
        <is>
          <t>LIVE</t>
        </is>
      </c>
      <c r="G24" s="15" t="inlineStr">
        <is>
          <t>Không gọi ACTIVE/BUSY là cổng đang rảnh</t>
        </is>
      </c>
      <c r="H24" s="15" t="inlineStr">
        <is>
          <t>Trạm có charging_status ACTIVE hoặc BUSY trong VinFast metadata.</t>
        </is>
      </c>
      <c r="I24" s="15" t="inlineStr">
        <is>
          <t>Một station candidate có status ACTIVE/BUSY.</t>
        </is>
      </c>
      <c r="J24" s="15" t="inlineStr">
        <is>
          <t>1. Mở popup/chi tiết trạm.
2. Đọc nhãn trạng thái.</t>
        </is>
      </c>
      <c r="K24" s="15" t="inlineStr">
        <is>
          <t>UI mô tả đây là metadata cấp trạm; không tuyên bố số cổng đang rảnh/đang sạc/hỏng theo thời gian thực.</t>
        </is>
      </c>
      <c r="L24" s="15" t="inlineStr">
        <is>
          <t>Text/UI audit; port_count chỉ là số connector tương thích trong payload detail.</t>
        </is>
      </c>
      <c r="M24" s="15" t="str"/>
      <c r="N24" s="15" t="n"/>
      <c r="O24" s="15" t="n"/>
      <c r="P24" s="15" t="n"/>
      <c r="Q24" s="15" t="inlineStr">
        <is>
          <t>NOT_AUTOMATED</t>
        </is>
      </c>
      <c r="R24" s="15" t="inlineStr">
        <is>
          <t>Chưa có automated test ánh xạ trực tiếp cho toàn bộ oracle của case này.</t>
        </is>
      </c>
      <c r="S24" s="26" t="n">
        <v>46249</v>
      </c>
    </row>
    <row r="25">
      <c r="A25" s="15" t="n">
        <v>24</v>
      </c>
      <c r="B25" s="15" t="inlineStr">
        <is>
          <t>F1-TC-024</t>
        </is>
      </c>
      <c r="C25" s="15" t="inlineStr">
        <is>
          <t>F1-US2</t>
        </is>
      </c>
      <c r="D25" s="15" t="inlineStr">
        <is>
          <t>Data Provenance</t>
        </is>
      </c>
      <c r="E25" s="22" t="inlineStr">
        <is>
          <t>P1</t>
        </is>
      </c>
      <c r="F25" s="20" t="inlineStr">
        <is>
          <t>LIVE</t>
        </is>
      </c>
      <c r="G25" s="15" t="inlineStr">
        <is>
          <t>Origin, destination và SOC ban đầu được nhận diện là dữ liệu người dùng nhập</t>
        </is>
      </c>
      <c r="H25" s="15" t="inlineStr">
        <is>
          <t>Mentor kiểm tra tính minh bạch nguồn.</t>
        </is>
      </c>
      <c r="I25" s="15" t="inlineStr">
        <is>
          <t>Trip tạo từ form.</t>
        </is>
      </c>
      <c r="J25" s="15" t="inlineStr">
        <is>
          <t>1. Lập plan.
2. Xem provenance/assumptions.</t>
        </is>
      </c>
      <c r="K25" s="15" t="inlineStr">
        <is>
          <t>Origin/destination chọn từ Goong có source_type=REAL_API; SOC ban đầu có source_type=MANUAL; không trình bày các input này như telemetry/OEM live.</t>
        </is>
      </c>
      <c r="L25" s="15" t="inlineStr">
        <is>
          <t>Coordinates selected via Goong Place Detail = REAL_API; initial SOC entered by user = MANUAL.</t>
        </is>
      </c>
      <c r="M25" s="15" t="str"/>
      <c r="N25" s="15" t="n"/>
      <c r="O25" s="15" t="n"/>
      <c r="P25" s="15" t="n"/>
      <c r="Q25" s="15" t="inlineStr">
        <is>
          <t>NOT_AUTOMATED</t>
        </is>
      </c>
      <c r="R25" s="15" t="inlineStr">
        <is>
          <t>Contract/API đã lưu REAL_API và MANUAL; LIVE UI provenance chưa có E2E test.</t>
        </is>
      </c>
      <c r="S25" s="26" t="n">
        <v>46249</v>
      </c>
    </row>
    <row r="26">
      <c r="A26" s="15" t="n">
        <v>25</v>
      </c>
      <c r="B26" s="15" t="inlineStr">
        <is>
          <t>F1-TC-025</t>
        </is>
      </c>
      <c r="C26" s="15" t="inlineStr">
        <is>
          <t>F1-US2</t>
        </is>
      </c>
      <c r="D26" s="15" t="inlineStr">
        <is>
          <t>UI/Contract Consistency</t>
        </is>
      </c>
      <c r="E26" s="18" t="inlineStr">
        <is>
          <t>P0</t>
        </is>
      </c>
      <c r="F26" s="24" t="inlineStr">
        <is>
          <t>FIXTURE</t>
        </is>
      </c>
      <c r="G26" s="15" t="inlineStr">
        <is>
          <t>Frontend không tự tính lại SOC</t>
        </is>
      </c>
      <c r="H26" s="15" t="inlineStr">
        <is>
          <t>Backend trả soc_points và final_arrival_soc_percent cố định.</t>
        </is>
      </c>
      <c r="I26" s="15" t="inlineStr">
        <is>
          <t>Fixture plan có các điểm SOC biết trước.</t>
        </is>
      </c>
      <c r="J26" s="15" t="inlineStr">
        <is>
          <t>1. Mock PlanProposal.
2. Render UI.
3. Đối chiếu chart, station popup, final SOC.</t>
        </is>
      </c>
      <c r="K26" s="15" t="inlineStr">
        <is>
          <t>Tất cả số SOC trên UI đúng với backend; không có công thức JS làm lệch số.</t>
        </is>
      </c>
      <c r="L26" s="15" t="inlineStr">
        <is>
          <t>Exact fixture values = UI values.</t>
        </is>
      </c>
      <c r="M26" s="15" t="str"/>
      <c r="N26" s="15" t="n"/>
      <c r="O26" s="15" t="n"/>
      <c r="P26" s="15" t="n"/>
      <c r="Q26" s="15" t="inlineStr">
        <is>
          <t>NOT_AUTOMATED</t>
        </is>
      </c>
      <c r="R26" s="15" t="inlineStr">
        <is>
          <t>Chưa có automated test ánh xạ trực tiếp cho toàn bộ oracle của case này.</t>
        </is>
      </c>
      <c r="S26" s="26" t="n">
        <v>46249</v>
      </c>
    </row>
    <row r="27">
      <c r="A27" s="15" t="n">
        <v>26</v>
      </c>
      <c r="B27" s="15" t="inlineStr">
        <is>
          <t>F1-TC-026</t>
        </is>
      </c>
      <c r="C27" s="15" t="inlineStr">
        <is>
          <t>F1-US3</t>
        </is>
      </c>
      <c r="D27" s="15" t="inlineStr">
        <is>
          <t>Happy Path</t>
        </is>
      </c>
      <c r="E27" s="18" t="inlineStr">
        <is>
          <t>P0</t>
        </is>
      </c>
      <c r="F27" s="20" t="inlineStr">
        <is>
          <t>LIVE</t>
        </is>
      </c>
      <c r="G27" s="15" t="inlineStr">
        <is>
          <t>Chuyến ngắn không cần sạc</t>
        </is>
      </c>
      <c r="H27" s="15" t="inlineStr">
        <is>
          <t>Người dùng đi nội đô/quãng ngắn với SOC cao.</t>
        </is>
      </c>
      <c r="I27" s="15" t="inlineStr">
        <is>
          <t>Ví dụ nội đô Hà Nội; SOC 80–90%.</t>
        </is>
      </c>
      <c r="J27" s="15" t="inlineStr">
        <is>
          <t>1. Chọn hai điểm cách nhau ngắn.
2. Nhập SOC cao.
3. Lập plan.</t>
        </is>
      </c>
      <c r="K27" s="15" t="inlineStr">
        <is>
          <t>Có route hợp lệ; charging_stops rỗng; SOC đích ≥15%; UI nói rõ đi thẳng được, không phải trạng thái lỗi.</t>
        </is>
      </c>
      <c r="L27" s="15" t="inlineStr">
        <is>
          <t>LIVE: assert feasibility + no stop + SOC reserve; không pin exact distance.</t>
        </is>
      </c>
      <c r="M27" s="15" t="str"/>
      <c r="N27" s="15" t="inlineStr">
        <is>
          <t>test_short_safe_trip_does_not_require_station_provider</t>
        </is>
      </c>
      <c r="O27" s="15" t="inlineStr">
        <is>
          <t>tests/test_api/test_planning.py</t>
        </is>
      </c>
      <c r="P27" s="15" t="inlineStr">
        <is>
          <t>API integration</t>
        </is>
      </c>
      <c r="Q27" s="15" t="inlineStr">
        <is>
          <t>NOT_AUTOMATED</t>
        </is>
      </c>
      <c r="R27" s="15" t="inlineStr">
        <is>
          <t>Có test fixture liên quan nhưng LIVE smoke này chưa được tự động hóa end-to-end.</t>
        </is>
      </c>
      <c r="S27" s="26" t="n">
        <v>46249</v>
      </c>
    </row>
    <row r="28">
      <c r="A28" s="15" t="n">
        <v>27</v>
      </c>
      <c r="B28" s="15" t="inlineStr">
        <is>
          <t>F1-TC-027</t>
        </is>
      </c>
      <c r="C28" s="15" t="inlineStr">
        <is>
          <t>F1-US3</t>
        </is>
      </c>
      <c r="D28" s="15" t="inlineStr">
        <is>
          <t>Happy Path</t>
        </is>
      </c>
      <c r="E28" s="18" t="inlineStr">
        <is>
          <t>P0</t>
        </is>
      </c>
      <c r="F28" s="20" t="inlineStr">
        <is>
          <t>LIVE</t>
        </is>
      </c>
      <c r="G28" s="15" t="inlineStr">
        <is>
          <t>Chuyến dài kiểm tra nhu cầu sạc theo dữ liệu live</t>
        </is>
      </c>
      <c r="H28" s="15" t="inlineStr">
        <is>
          <t>Chủ xe đi Hà Nội → Vinh với SOC khoảng 60%.</t>
        </is>
      </c>
      <c r="I28" s="15" t="inlineStr">
        <is>
          <t>Goong/VinFast/Open-Meteo hoạt động.</t>
        </is>
      </c>
      <c r="J28" s="15" t="inlineStr">
        <is>
          <t>1. Lập plan.
2. Kiểm tra route, station, SOC arrival/departure và final SOC.</t>
        </is>
      </c>
      <c r="K28" s="15" t="inlineStr">
        <is>
          <t>Planner trả plan an toàn hoặc INFEASIBLE có lý do; nếu có trạm thì route từng leg dùng Goong waypoint, station CCS2 hợp lệ và mọi arrival SOC ≥15%.</t>
        </is>
      </c>
      <c r="L28" s="15" t="inlineStr">
        <is>
          <t>LIVE invariant; không khóa chính xác số trạm hoặc tên trạm.</t>
        </is>
      </c>
      <c r="M28" s="15" t="inlineStr">
        <is>
          <t>Muốn assert đúng một trạm phải dùng fixture version hóa riêng.</t>
        </is>
      </c>
      <c r="N28" s="15" t="n"/>
      <c r="O28" s="15" t="n"/>
      <c r="P28" s="15" t="n"/>
      <c r="Q28" s="15" t="inlineStr">
        <is>
          <t>NOT_AUTOMATED</t>
        </is>
      </c>
      <c r="R28" s="15" t="inlineStr">
        <is>
          <t>Có fixture happy-path liên quan; LIVE smoke chưa chạy tự động.</t>
        </is>
      </c>
      <c r="S28" s="26" t="n">
        <v>46249</v>
      </c>
    </row>
    <row r="29">
      <c r="A29" s="15" t="n">
        <v>28</v>
      </c>
      <c r="B29" s="15" t="inlineStr">
        <is>
          <t>F1-TC-028</t>
        </is>
      </c>
      <c r="C29" s="15" t="inlineStr">
        <is>
          <t>F1-US3</t>
        </is>
      </c>
      <c r="D29" s="15" t="inlineStr">
        <is>
          <t>Happy Path</t>
        </is>
      </c>
      <c r="E29" s="18" t="inlineStr">
        <is>
          <t>P0</t>
        </is>
      </c>
      <c r="F29" s="24" t="inlineStr">
        <is>
          <t>FIXTURE</t>
        </is>
      </c>
      <c r="G29" s="15" t="inlineStr">
        <is>
          <t>Chuyến rất dài cần nhiều điểm sạc</t>
        </is>
      </c>
      <c r="H29" s="15" t="inlineStr">
        <is>
          <t>Một tuyến dài hơn phạm vi một lần sạc, cần 2–5 stop.</t>
        </is>
      </c>
      <c r="I29" s="15" t="inlineStr">
        <is>
          <t>Fixture route/stations bảo đảm có chuỗi nhiều trạm.</t>
        </is>
      </c>
      <c r="J29" s="15" t="inlineStr">
        <is>
          <t>1. Chạy planner với SOC ban đầu cố định.
2. Theo dõi chuỗi state.
3. Kiểm tra từng leg.</t>
        </is>
      </c>
      <c r="K29" s="15" t="inlineStr">
        <is>
          <t>Planner tìm được chuỗi stop đúng; không greedy chọn trạm khiến chặng sau bị kẹt; mọi leg ≥ reserve.</t>
        </is>
      </c>
      <c r="L29" s="15" t="inlineStr">
        <is>
          <t>Exact fixture station sequence và SOC từng leg.</t>
        </is>
      </c>
      <c r="M29" s="15" t="str"/>
      <c r="N29" s="15" t="n"/>
      <c r="O29" s="15" t="n"/>
      <c r="P29" s="15" t="n"/>
      <c r="Q29" s="15" t="inlineStr">
        <is>
          <t>NOT_AUTOMATED</t>
        </is>
      </c>
      <c r="R29" s="15" t="inlineStr">
        <is>
          <t>Chưa có automated test ánh xạ trực tiếp cho toàn bộ oracle của case này.</t>
        </is>
      </c>
      <c r="S29" s="26" t="n">
        <v>46249</v>
      </c>
    </row>
    <row r="30">
      <c r="A30" s="15" t="n">
        <v>29</v>
      </c>
      <c r="B30" s="15" t="inlineStr">
        <is>
          <t>F1-TC-029</t>
        </is>
      </c>
      <c r="C30" s="15" t="inlineStr">
        <is>
          <t>F1-US3</t>
        </is>
      </c>
      <c r="D30" s="15" t="inlineStr">
        <is>
          <t>Low SOC / Backtrack</t>
        </is>
      </c>
      <c r="E30" s="18" t="inlineStr">
        <is>
          <t>P0</t>
        </is>
      </c>
      <c r="F30" s="20" t="inlineStr">
        <is>
          <t>LIVE</t>
        </is>
      </c>
      <c r="G30" s="15" t="inlineStr">
        <is>
          <t>SOC thấp kiểm tra khả năng backtrack gần origin</t>
        </is>
      </c>
      <c r="H30" s="15" t="inlineStr">
        <is>
          <t>Người dùng đi 10 Tạ Quang Bửu → VinUniversity với SOC 17%.</t>
        </is>
      </c>
      <c r="I30" s="15" t="inlineStr">
        <is>
          <t>Live providers hoạt động.</t>
        </is>
      </c>
      <c r="J30" s="15" t="inlineStr">
        <is>
          <t>1. Nhập route và SOC 17%.
2. Lập plan.
3. Kiểm tra candidate gần/ở phía sau origin.</t>
        </is>
      </c>
      <c r="K30" s="15" t="inlineStr">
        <is>
          <t>Nếu có station backtracking được Goong xác minh và vẫn giữ SOC ≥15%, planner có thể chọn; nếu không có chuỗi an toàn thì trả INFEASIBLE minh bạch.</t>
        </is>
      </c>
      <c r="L30" s="15" t="inlineStr">
        <is>
          <t>LIVE invariant; không bắt buộc lần chạy live nào cũng phải có backtracking.</t>
        </is>
      </c>
      <c r="M30" s="15" t="inlineStr">
        <is>
          <t>Fixture F1-TC-030/F1-TC-063 dùng để assert exact hành vi backtracking.</t>
        </is>
      </c>
      <c r="N30" s="15" t="n"/>
      <c r="O30" s="15" t="n"/>
      <c r="P30" s="15" t="n"/>
      <c r="Q30" s="15" t="inlineStr">
        <is>
          <t>NOT_AUTOMATED</t>
        </is>
      </c>
      <c r="R30" s="15" t="inlineStr">
        <is>
          <t>Có unit test backtracking liên quan; LIVE smoke chưa chạy tự động.</t>
        </is>
      </c>
      <c r="S30" s="26" t="n">
        <v>46249</v>
      </c>
    </row>
    <row r="31">
      <c r="A31" s="15" t="n">
        <v>30</v>
      </c>
      <c r="B31" s="15" t="inlineStr">
        <is>
          <t>F1-TC-030</t>
        </is>
      </c>
      <c r="C31" s="15" t="inlineStr">
        <is>
          <t>F1-US3</t>
        </is>
      </c>
      <c r="D31" s="15" t="inlineStr">
        <is>
          <t>Station Search</t>
        </is>
      </c>
      <c r="E31" s="18" t="inlineStr">
        <is>
          <t>P0</t>
        </is>
      </c>
      <c r="F31" s="24" t="inlineStr">
        <is>
          <t>FIXTURE</t>
        </is>
      </c>
      <c r="G31" s="15" t="inlineStr">
        <is>
          <t>Candidate progress = 0 không bị loại</t>
        </is>
      </c>
      <c r="H31" s="15" t="inlineStr">
        <is>
          <t>Trạm rất gần điểm xuất phát nằm tại progress 0.</t>
        </is>
      </c>
      <c r="I31" s="15" t="inlineStr">
        <is>
          <t>Fixture station progress = 0, CCS2, reachable.</t>
        </is>
      </c>
      <c r="J31" s="15" t="inlineStr">
        <is>
          <t>1. Chạy station shortlist.
2. Lập plan low-SOC.</t>
        </is>
      </c>
      <c r="K31" s="15" t="inlineStr">
        <is>
          <t>Candidate vẫn được đánh giá và có thể được chọn nếu thỏa toàn bộ hard constraints.</t>
        </is>
      </c>
      <c r="L31" s="15" t="inlineStr">
        <is>
          <t>Exact fixture candidate remains eligible.</t>
        </is>
      </c>
      <c r="M31" s="15" t="str"/>
      <c r="N31" s="15" t="inlineStr">
        <is>
          <t>test_station_at_origin_progress_can_be_used_by_low_soc_trip</t>
        </is>
      </c>
      <c r="O31" s="15" t="inlineStr">
        <is>
          <t>tests/test_core/test_energy_planning.py</t>
        </is>
      </c>
      <c r="P31" s="15" t="inlineStr">
        <is>
          <t>Unit</t>
        </is>
      </c>
      <c r="Q31" s="15" t="inlineStr">
        <is>
          <t>PASS</t>
        </is>
      </c>
      <c r="R31" s="15" t="inlineStr">
        <is>
          <t>Chưa có automated test ánh xạ trực tiếp cho toàn bộ oracle của case này.</t>
        </is>
      </c>
      <c r="S31" s="26" t="n">
        <v>46249</v>
      </c>
    </row>
    <row r="32">
      <c r="A32" s="15" t="n">
        <v>31</v>
      </c>
      <c r="B32" s="15" t="inlineStr">
        <is>
          <t>F1-TC-031</t>
        </is>
      </c>
      <c r="C32" s="15" t="inlineStr">
        <is>
          <t>F1-US3</t>
        </is>
      </c>
      <c r="D32" s="15" t="inlineStr">
        <is>
          <t>Detour Boundary</t>
        </is>
      </c>
      <c r="E32" s="18" t="inlineStr">
        <is>
          <t>P0</t>
        </is>
      </c>
      <c r="F32" s="24" t="inlineStr">
        <is>
          <t>FIXTURE</t>
        </is>
      </c>
      <c r="G32" s="15" t="inlineStr">
        <is>
          <t>Đường vòng đúng giới hạn 10 km và 15 phút</t>
        </is>
      </c>
      <c r="H32" s="15" t="inlineStr">
        <is>
          <t>Trạm cần rẽ khỏi tuyến nhưng đúng bằng giới hạn cho phép.</t>
        </is>
      </c>
      <c r="I32" s="15" t="inlineStr">
        <is>
          <t>Fixture waypoint: added_distance=10.00 km, added_time=15.00 min.</t>
        </is>
      </c>
      <c r="J32" s="15" t="inlineStr">
        <is>
          <t>1. Lập plan.
2. Xác minh detour bằng Goong fixture.</t>
        </is>
      </c>
      <c r="K32" s="15" t="inlineStr">
        <is>
          <t>Candidate không bị loại chỉ vì nằm đúng boundary; vẫn tiếp tục feasibility.</t>
        </is>
      </c>
      <c r="L32" s="15" t="inlineStr">
        <is>
          <t>Boundary &lt;=10 km AND &lt;=15 min is accepted.</t>
        </is>
      </c>
      <c r="M32" s="15" t="str"/>
      <c r="N32" s="15" t="n"/>
      <c r="O32" s="15" t="n"/>
      <c r="P32" s="15" t="n"/>
      <c r="Q32" s="15" t="inlineStr">
        <is>
          <t>NOT_AUTOMATED</t>
        </is>
      </c>
      <c r="R32" s="15" t="inlineStr">
        <is>
          <t>Chưa có automated test ánh xạ trực tiếp cho toàn bộ oracle của case này.</t>
        </is>
      </c>
      <c r="S32" s="26" t="n">
        <v>46249</v>
      </c>
    </row>
    <row r="33">
      <c r="A33" s="15" t="n">
        <v>32</v>
      </c>
      <c r="B33" s="15" t="inlineStr">
        <is>
          <t>F1-TC-032</t>
        </is>
      </c>
      <c r="C33" s="15" t="inlineStr">
        <is>
          <t>F1-US3</t>
        </is>
      </c>
      <c r="D33" s="15" t="inlineStr">
        <is>
          <t>Detour Boundary</t>
        </is>
      </c>
      <c r="E33" s="18" t="inlineStr">
        <is>
          <t>P0</t>
        </is>
      </c>
      <c r="F33" s="24" t="inlineStr">
        <is>
          <t>FIXTURE</t>
        </is>
      </c>
      <c r="G33" s="15" t="inlineStr">
        <is>
          <t>Đường vòng vượt 10 km</t>
        </is>
      </c>
      <c r="H33" s="15" t="inlineStr">
        <is>
          <t>Trạm phù hợp connector nhưng cách tuyến quá xa.</t>
        </is>
      </c>
      <c r="I33" s="15" t="inlineStr">
        <is>
          <t>Fixture added_distance=10.01 km, time &lt;15 min.</t>
        </is>
      </c>
      <c r="J33" s="15" t="inlineStr">
        <is>
          <t>1. Lập plan.</t>
        </is>
      </c>
      <c r="K33" s="15" t="inlineStr">
        <is>
          <t>Candidate bị loại dù SOC đủ; nếu không còn phương án an toàn, response chứa reason code DETOUR_DISTANCE_EXCEEDED.</t>
        </is>
      </c>
      <c r="L33" s="15" t="inlineStr">
        <is>
          <t>Exact rejected candidate; added_distance=10.01 km; reason_codes chứa DETOUR_DISTANCE_EXCEEDED.</t>
        </is>
      </c>
      <c r="M33" s="15" t="str"/>
      <c r="N33" s="15" t="inlineStr">
        <is>
          <t>test_planner_reports_exact_detour_rejection[distance]</t>
        </is>
      </c>
      <c r="O33" s="15" t="inlineStr">
        <is>
          <t>tests/test_core/test_planning_detour.py</t>
        </is>
      </c>
      <c r="P33" s="15" t="inlineStr">
        <is>
          <t>Component</t>
        </is>
      </c>
      <c r="Q33" s="15" t="inlineStr">
        <is>
          <t>PASS</t>
        </is>
      </c>
      <c r="R33" s="15" t="inlineStr">
        <is>
          <t>Chưa có automated test ánh xạ trực tiếp cho toàn bộ oracle của case này.</t>
        </is>
      </c>
      <c r="S33" s="26" t="n">
        <v>46249</v>
      </c>
    </row>
    <row r="34">
      <c r="A34" s="15" t="n">
        <v>33</v>
      </c>
      <c r="B34" s="15" t="inlineStr">
        <is>
          <t>F1-TC-033</t>
        </is>
      </c>
      <c r="C34" s="15" t="inlineStr">
        <is>
          <t>F1-US3</t>
        </is>
      </c>
      <c r="D34" s="15" t="inlineStr">
        <is>
          <t>Detour Boundary</t>
        </is>
      </c>
      <c r="E34" s="18" t="inlineStr">
        <is>
          <t>P0</t>
        </is>
      </c>
      <c r="F34" s="24" t="inlineStr">
        <is>
          <t>FIXTURE</t>
        </is>
      </c>
      <c r="G34" s="15" t="inlineStr">
        <is>
          <t>Đường vòng vượt 15 phút</t>
        </is>
      </c>
      <c r="H34" s="15" t="inlineStr">
        <is>
          <t>Trạm chỉ tăng 8 km nhưng mất 15.1 phút.</t>
        </is>
      </c>
      <c r="I34" s="15" t="inlineStr">
        <is>
          <t>Fixture added_distance&lt;10 km, added_time=15.1 min.</t>
        </is>
      </c>
      <c r="J34" s="15" t="inlineStr">
        <is>
          <t>1. Lập plan.</t>
        </is>
      </c>
      <c r="K34" s="15" t="inlineStr">
        <is>
          <t>Candidate bị loại theo time limit; nếu không còn phương án an toàn, response chứa reason code DETOUR_TIME_EXCEEDED.</t>
        </is>
      </c>
      <c r="L34" s="15" t="inlineStr">
        <is>
          <t>Exact rejected candidate; added_time=15.1 min; reason_codes chứa DETOUR_TIME_EXCEEDED.</t>
        </is>
      </c>
      <c r="M34" s="15" t="str"/>
      <c r="N34" s="15" t="inlineStr">
        <is>
          <t>test_planner_reports_exact_detour_rejection[time]</t>
        </is>
      </c>
      <c r="O34" s="15" t="inlineStr">
        <is>
          <t>tests/test_core/test_planning_detour.py</t>
        </is>
      </c>
      <c r="P34" s="15" t="inlineStr">
        <is>
          <t>Component</t>
        </is>
      </c>
      <c r="Q34" s="15" t="inlineStr">
        <is>
          <t>PASS</t>
        </is>
      </c>
      <c r="R34" s="15" t="inlineStr">
        <is>
          <t>Chưa có automated test ánh xạ trực tiếp cho toàn bộ oracle của case này.</t>
        </is>
      </c>
      <c r="S34" s="26" t="n">
        <v>46249</v>
      </c>
    </row>
    <row r="35">
      <c r="A35" s="15" t="n">
        <v>34</v>
      </c>
      <c r="B35" s="15" t="inlineStr">
        <is>
          <t>F1-TC-034</t>
        </is>
      </c>
      <c r="C35" s="15" t="inlineStr">
        <is>
          <t>F1-US3</t>
        </is>
      </c>
      <c r="D35" s="15" t="inlineStr">
        <is>
          <t>Multiple Plans</t>
        </is>
      </c>
      <c r="E35" s="18" t="inlineStr">
        <is>
          <t>P0</t>
        </is>
      </c>
      <c r="F35" s="24" t="inlineStr">
        <is>
          <t>FIXTURE</t>
        </is>
      </c>
      <c r="G35" s="15" t="inlineStr">
        <is>
          <t>Có ba phương án an toàn khác nhau</t>
        </is>
      </c>
      <c r="H35" s="15" t="inlineStr">
        <is>
          <t>Cùng trip có 3 chuỗi trạm an toàn với trade-off khác nhau.</t>
        </is>
      </c>
      <c r="I35" s="15" t="inlineStr">
        <is>
          <t>Fixture có ≥3 unique feasible paths.</t>
        </is>
      </c>
      <c r="J35" s="15" t="inlineStr">
        <is>
          <t>1. Lập plan.
2. Quan sát selector phương án.</t>
        </is>
      </c>
      <c r="K35" s="15" t="inlineStr">
        <is>
          <t>API/UI trả tối đa 3 phương án; có cân bằng/nhanh/an toàn nếu thật sự khác nhau; tất cả đều đã qua feasibility.</t>
        </is>
      </c>
      <c r="L35" s="15" t="inlineStr">
        <is>
          <t>Exact feasible plan IDs ≤3; no infeasible plan in options.</t>
        </is>
      </c>
      <c r="M35" s="15" t="str"/>
      <c r="N35" s="15" t="n"/>
      <c r="O35" s="15" t="n"/>
      <c r="P35" s="15" t="n"/>
      <c r="Q35" s="15" t="inlineStr">
        <is>
          <t>NOT_AUTOMATED</t>
        </is>
      </c>
      <c r="R35" s="15" t="inlineStr">
        <is>
          <t>Chưa có automated test ánh xạ trực tiếp cho toàn bộ oracle của case này.</t>
        </is>
      </c>
      <c r="S35" s="26" t="n">
        <v>46249</v>
      </c>
    </row>
    <row r="36">
      <c r="A36" s="15" t="n">
        <v>35</v>
      </c>
      <c r="B36" s="15" t="inlineStr">
        <is>
          <t>F1-TC-035</t>
        </is>
      </c>
      <c r="C36" s="15" t="inlineStr">
        <is>
          <t>F1-US3</t>
        </is>
      </c>
      <c r="D36" s="15" t="inlineStr">
        <is>
          <t>Multiple Plans</t>
        </is>
      </c>
      <c r="E36" s="22" t="inlineStr">
        <is>
          <t>P1</t>
        </is>
      </c>
      <c r="F36" s="24" t="inlineStr">
        <is>
          <t>FIXTURE</t>
        </is>
      </c>
      <c r="G36" s="15" t="inlineStr">
        <is>
          <t>Chỉ có một phương án an toàn</t>
        </is>
      </c>
      <c r="H36" s="15" t="inlineStr">
        <is>
          <t>Tuyến chỉ có một chuỗi station hợp lệ.</t>
        </is>
      </c>
      <c r="I36" s="15" t="inlineStr">
        <is>
          <t>Fixture chỉ một feasible path.</t>
        </is>
      </c>
      <c r="J36" s="15" t="inlineStr">
        <is>
          <t>1. Lập plan.</t>
        </is>
      </c>
      <c r="K36" s="15" t="inlineStr">
        <is>
          <t>UI không nhân bản một plan thành ba option giả; chỉ hiển thị số phương án thực có.</t>
        </is>
      </c>
      <c r="L36" s="15" t="inlineStr">
        <is>
          <t>Unique plan count = 1.</t>
        </is>
      </c>
      <c r="M36" s="15" t="str"/>
      <c r="N36" s="15" t="n"/>
      <c r="O36" s="15" t="n"/>
      <c r="P36" s="15" t="n"/>
      <c r="Q36" s="15" t="inlineStr">
        <is>
          <t>NOT_AUTOMATED</t>
        </is>
      </c>
      <c r="R36" s="15" t="inlineStr">
        <is>
          <t>Chưa có automated test ánh xạ trực tiếp cho toàn bộ oracle của case này.</t>
        </is>
      </c>
      <c r="S36" s="26" t="n">
        <v>46249</v>
      </c>
    </row>
    <row r="37">
      <c r="A37" s="15" t="n">
        <v>36</v>
      </c>
      <c r="B37" s="15" t="inlineStr">
        <is>
          <t>F1-TC-036</t>
        </is>
      </c>
      <c r="C37" s="15" t="inlineStr">
        <is>
          <t>F1-US3</t>
        </is>
      </c>
      <c r="D37" s="15" t="inlineStr">
        <is>
          <t>Multiple Plans</t>
        </is>
      </c>
      <c r="E37" s="22" t="inlineStr">
        <is>
          <t>P1</t>
        </is>
      </c>
      <c r="F37" s="24" t="inlineStr">
        <is>
          <t>FIXTURE</t>
        </is>
      </c>
      <c r="G37" s="15" t="inlineStr">
        <is>
          <t>Hai phương án có chuỗi trạm khác nhau</t>
        </is>
      </c>
      <c r="H37" s="15" t="inlineStr">
        <is>
          <t>Safety engine tìm được hai station chain khác nhau và Goong xác minh route waypoint tương ứng.</t>
        </is>
      </c>
      <c r="I37" s="15" t="inlineStr">
        <is>
          <t>Fixture có 2 station-chain identities khác nhau; mỗi chain có route geometry riêng.</t>
        </is>
      </c>
      <c r="J37" s="15" t="inlineStr">
        <is>
          <t>1. Lập plan.
2. Chuyển option.</t>
        </is>
      </c>
      <c r="K37" s="15" t="inlineStr">
        <is>
          <t>Mỗi option giữ đúng station sequence, route geometry và SOC points của chính nó; map redraw đúng option.</t>
        </is>
      </c>
      <c r="L37" s="15" t="inlineStr">
        <is>
          <t>Exact station sequence + geometry hash + SOC points per plan.</t>
        </is>
      </c>
      <c r="M37" s="15" t="inlineStr">
        <is>
          <t>Nhiều geometry cho cùng một station chain nằm ngoài phạm vi F1 hiện tại.</t>
        </is>
      </c>
      <c r="N37" s="15" t="n"/>
      <c r="O37" s="15" t="n"/>
      <c r="P37" s="15" t="n"/>
      <c r="Q37" s="15" t="inlineStr">
        <is>
          <t>NOT_AUTOMATED</t>
        </is>
      </c>
      <c r="R37" s="15" t="inlineStr">
        <is>
          <t>Oracle đã đổi sang station-chain identity; chưa có fixture hai chain.</t>
        </is>
      </c>
      <c r="S37" s="26" t="n">
        <v>46249</v>
      </c>
    </row>
    <row r="38">
      <c r="A38" s="15" t="n">
        <v>37</v>
      </c>
      <c r="B38" s="15" t="inlineStr">
        <is>
          <t>F1-TC-037</t>
        </is>
      </c>
      <c r="C38" s="15" t="inlineStr">
        <is>
          <t>F1-US3</t>
        </is>
      </c>
      <c r="D38" s="15" t="inlineStr">
        <is>
          <t>Connector</t>
        </is>
      </c>
      <c r="E38" s="18" t="inlineStr">
        <is>
          <t>P0</t>
        </is>
      </c>
      <c r="F38" s="24" t="inlineStr">
        <is>
          <t>FIXTURE</t>
        </is>
      </c>
      <c r="G38" s="15" t="inlineStr">
        <is>
          <t>Loại trạm không có CCS2</t>
        </is>
      </c>
      <c r="H38" s="15" t="inlineStr">
        <is>
          <t>Dọc tuyến có trạm CHAdeMO/Type2 nhưng xe VF 6 Plus yêu cầu CCS2.</t>
        </is>
      </c>
      <c r="I38" s="15" t="inlineStr">
        <is>
          <t>Fixture có mixed connectors.</t>
        </is>
      </c>
      <c r="J38" s="15" t="inlineStr">
        <is>
          <t>1. Lập plan.</t>
        </is>
      </c>
      <c r="K38" s="15" t="inlineStr">
        <is>
          <t>Trạm không có CCS2 không xuất hiện trong charging plan.</t>
        </is>
      </c>
      <c r="L38" s="15" t="inlineStr">
        <is>
          <t>Rejected station ids/reason = connector mismatch/unknown.</t>
        </is>
      </c>
      <c r="M38" s="15" t="str"/>
      <c r="N38" s="15" t="inlineStr">
        <is>
          <t>test_incompatible_connector_is_infeasible</t>
        </is>
      </c>
      <c r="O38" s="15" t="inlineStr">
        <is>
          <t>tests/test_core/test_feasibility.py</t>
        </is>
      </c>
      <c r="P38" s="15" t="inlineStr">
        <is>
          <t>Unit</t>
        </is>
      </c>
      <c r="Q38" s="15" t="inlineStr">
        <is>
          <t>PASS</t>
        </is>
      </c>
      <c r="R38" s="15" t="inlineStr">
        <is>
          <t>Chưa có automated test ánh xạ trực tiếp cho toàn bộ oracle của case này.</t>
        </is>
      </c>
      <c r="S38" s="26" t="n">
        <v>46249</v>
      </c>
    </row>
    <row r="39">
      <c r="A39" s="15" t="n">
        <v>38</v>
      </c>
      <c r="B39" s="15" t="inlineStr">
        <is>
          <t>F1-TC-038</t>
        </is>
      </c>
      <c r="C39" s="15" t="inlineStr">
        <is>
          <t>F1-US3</t>
        </is>
      </c>
      <c r="D39" s="15" t="inlineStr">
        <is>
          <t>Connector</t>
        </is>
      </c>
      <c r="E39" s="18" t="inlineStr">
        <is>
          <t>P0</t>
        </is>
      </c>
      <c r="F39" s="24" t="inlineStr">
        <is>
          <t>FIXTURE</t>
        </is>
      </c>
      <c r="G39" s="15" t="inlineStr">
        <is>
          <t>Connector không rõ</t>
        </is>
      </c>
      <c r="H39" s="15" t="inlineStr">
        <is>
          <t>VinFast detail trả EVSE nhưng thiếu connector standard.</t>
        </is>
      </c>
      <c r="I39" s="15" t="inlineStr">
        <is>
          <t>Fixture malformed/unknown connector.</t>
        </is>
      </c>
      <c r="J39" s="15" t="inlineStr">
        <is>
          <t>1. Lập plan.</t>
        </is>
      </c>
      <c r="K39" s="15" t="inlineStr">
        <is>
          <t>Trạm bị loại fail-closed; không suy đoán rằng connector tương thích.</t>
        </is>
      </c>
      <c r="L39" s="15" t="inlineStr">
        <is>
          <t>Rejected exact station.</t>
        </is>
      </c>
      <c r="M39" s="15" t="str"/>
      <c r="N39" s="15" t="n"/>
      <c r="O39" s="15" t="n"/>
      <c r="P39" s="15" t="n"/>
      <c r="Q39" s="15" t="inlineStr">
        <is>
          <t>NOT_AUTOMATED</t>
        </is>
      </c>
      <c r="R39" s="15" t="inlineStr">
        <is>
          <t>Chưa có automated test ánh xạ trực tiếp cho toàn bộ oracle của case này.</t>
        </is>
      </c>
      <c r="S39" s="26" t="n">
        <v>46249</v>
      </c>
    </row>
    <row r="40">
      <c r="A40" s="15" t="n">
        <v>39</v>
      </c>
      <c r="B40" s="15" t="inlineStr">
        <is>
          <t>F1-TC-039</t>
        </is>
      </c>
      <c r="C40" s="15" t="inlineStr">
        <is>
          <t>F1-US3</t>
        </is>
      </c>
      <c r="D40" s="15" t="inlineStr">
        <is>
          <t>Station Metadata</t>
        </is>
      </c>
      <c r="E40" s="18" t="inlineStr">
        <is>
          <t>P0</t>
        </is>
      </c>
      <c r="F40" s="24" t="inlineStr">
        <is>
          <t>FIXTURE</t>
        </is>
      </c>
      <c r="G40" s="15" t="inlineStr">
        <is>
          <t>Công suất trạm không hợp lệ</t>
        </is>
      </c>
      <c r="H40" s="15" t="inlineStr">
        <is>
          <t>Trạm có CCS2 nhưng power null/0/âm.</t>
        </is>
      </c>
      <c r="I40" s="15" t="inlineStr">
        <is>
          <t>Fixture invalid max_power_kw.</t>
        </is>
      </c>
      <c r="J40" s="15" t="inlineStr">
        <is>
          <t>1. Lập plan.</t>
        </is>
      </c>
      <c r="K40" s="15" t="inlineStr">
        <is>
          <t>Trạm không được dùng để tính thời gian sạc hoặc tạo plan.</t>
        </is>
      </c>
      <c r="L40" s="15" t="inlineStr">
        <is>
          <t>Rejected candidate; no fabricated power.</t>
        </is>
      </c>
      <c r="M40" s="15" t="str"/>
      <c r="N40" s="15" t="n"/>
      <c r="O40" s="15" t="n"/>
      <c r="P40" s="15" t="n"/>
      <c r="Q40" s="15" t="inlineStr">
        <is>
          <t>NOT_AUTOMATED</t>
        </is>
      </c>
      <c r="R40" s="15" t="inlineStr">
        <is>
          <t>Chưa có automated test ánh xạ trực tiếp cho toàn bộ oracle của case này.</t>
        </is>
      </c>
      <c r="S40" s="26" t="n">
        <v>46249</v>
      </c>
    </row>
    <row r="41">
      <c r="A41" s="15" t="n">
        <v>40</v>
      </c>
      <c r="B41" s="15" t="inlineStr">
        <is>
          <t>F1-TC-040</t>
        </is>
      </c>
      <c r="C41" s="15" t="inlineStr">
        <is>
          <t>F1-US3</t>
        </is>
      </c>
      <c r="D41" s="15" t="inlineStr">
        <is>
          <t>Station Status</t>
        </is>
      </c>
      <c r="E41" s="18" t="inlineStr">
        <is>
          <t>P0</t>
        </is>
      </c>
      <c r="F41" s="24" t="inlineStr">
        <is>
          <t>FIXTURE</t>
        </is>
      </c>
      <c r="G41" s="15" t="inlineStr">
        <is>
          <t>Loại trạm maintenance/inactive/unavailable/out-of-order/blocked</t>
        </is>
      </c>
      <c r="H41" s="15" t="inlineStr">
        <is>
          <t>Provider trả các trạm ở trạng thái không nên dùng.</t>
        </is>
      </c>
      <c r="I41" s="15" t="inlineStr">
        <is>
          <t>Fixture mỗi status có một candidate.</t>
        </is>
      </c>
      <c r="J41" s="15" t="inlineStr">
        <is>
          <t>1. Lập plan.
2. Kiểm tra candidate list.</t>
        </is>
      </c>
      <c r="K41" s="15" t="inlineStr">
        <is>
          <t>Tất cả trạng thái bị cấm bị loại trước khi tạo final plan.</t>
        </is>
      </c>
      <c r="L41" s="15" t="inlineStr">
        <is>
          <t>Exact rejected set by status.</t>
        </is>
      </c>
      <c r="M41" s="15" t="str"/>
      <c r="N41" s="15" t="inlineStr">
        <is>
          <t>test_vinfast_detail_rejects_maintenance_station</t>
        </is>
      </c>
      <c r="O41" s="15" t="inlineStr">
        <is>
          <t>tests/test_core/test_vinfast_station_service.py</t>
        </is>
      </c>
      <c r="P41" s="15" t="inlineStr">
        <is>
          <t>Unit</t>
        </is>
      </c>
      <c r="Q41" s="15" t="inlineStr">
        <is>
          <t>PASS</t>
        </is>
      </c>
      <c r="R41" s="15" t="inlineStr">
        <is>
          <t>Chưa có automated test ánh xạ trực tiếp cho toàn bộ oracle của case này.</t>
        </is>
      </c>
      <c r="S41" s="26" t="n">
        <v>46249</v>
      </c>
    </row>
    <row r="42">
      <c r="A42" s="15" t="n">
        <v>41</v>
      </c>
      <c r="B42" s="15" t="inlineStr">
        <is>
          <t>F1-TC-041</t>
        </is>
      </c>
      <c r="C42" s="15" t="inlineStr">
        <is>
          <t>F1-US3</t>
        </is>
      </c>
      <c r="D42" s="15" t="inlineStr">
        <is>
          <t>Station Status</t>
        </is>
      </c>
      <c r="E42" s="22" t="inlineStr">
        <is>
          <t>P1</t>
        </is>
      </c>
      <c r="F42" s="24" t="inlineStr">
        <is>
          <t>FIXTURE</t>
        </is>
      </c>
      <c r="G42" s="15" t="inlineStr">
        <is>
          <t>ACTIVE/BUSY vẫn chỉ là station metadata</t>
        </is>
      </c>
      <c r="H42" s="15" t="inlineStr">
        <is>
          <t>Provider trả ACTIVE hoặc BUSY ở cấp trạm.</t>
        </is>
      </c>
      <c r="I42" s="15" t="inlineStr">
        <is>
          <t>Fixture status ACTIVE/BUSY và CCS2 hợp lệ.</t>
        </is>
      </c>
      <c r="J42" s="15" t="inlineStr">
        <is>
          <t>1. Lập plan.
2. Mở detail.</t>
        </is>
      </c>
      <c r="K42" s="15" t="inlineStr">
        <is>
          <t>Planner xử lý theo policy hiện hành; UI không biến BUSY/ACTIVE thành 'có cổng trống ngay bây giờ'.</t>
        </is>
      </c>
      <c r="L42" s="15" t="inlineStr">
        <is>
          <t>Structured status preserved; no live-port claim.</t>
        </is>
      </c>
      <c r="M42" s="15" t="str"/>
      <c r="N42" s="15" t="n"/>
      <c r="O42" s="15" t="n"/>
      <c r="P42" s="15" t="n"/>
      <c r="Q42" s="15" t="inlineStr">
        <is>
          <t>NOT_AUTOMATED</t>
        </is>
      </c>
      <c r="R42" s="15" t="inlineStr">
        <is>
          <t>Chưa có automated test ánh xạ trực tiếp cho toàn bộ oracle của case này.</t>
        </is>
      </c>
      <c r="S42" s="26" t="n">
        <v>46249</v>
      </c>
    </row>
    <row r="43">
      <c r="A43" s="15" t="n">
        <v>42</v>
      </c>
      <c r="B43" s="15" t="inlineStr">
        <is>
          <t>F1-TC-042</t>
        </is>
      </c>
      <c r="C43" s="15" t="inlineStr">
        <is>
          <t>F1-US3</t>
        </is>
      </c>
      <c r="D43" s="15" t="inlineStr">
        <is>
          <t>Charging Time</t>
        </is>
      </c>
      <c r="E43" s="18" t="inlineStr">
        <is>
          <t>P0</t>
        </is>
      </c>
      <c r="F43" s="24" t="inlineStr">
        <is>
          <t>FIXTURE</t>
        </is>
      </c>
      <c r="G43" s="15" t="inlineStr">
        <is>
          <t>Trạm 250 kW nhưng xe giới hạn 100 kW</t>
        </is>
      </c>
      <c r="H43" s="15" t="inlineStr">
        <is>
          <t>VF 6 Plus max DC 100 kW, station 250 kW.</t>
        </is>
      </c>
      <c r="I43" s="15" t="inlineStr">
        <is>
          <t>Fixture station=250 kW.</t>
        </is>
      </c>
      <c r="J43" s="15" t="inlineStr">
        <is>
          <t>1. Lập plan có stop này.
2. Kiểm tra thời gian sạc.</t>
        </is>
      </c>
      <c r="K43" s="15" t="inlineStr">
        <is>
          <t>Công suất dùng để ước lượng = min(100,250)×0.85 = 85 kW; charge time khớp energy added.</t>
        </is>
      </c>
      <c r="L43" s="15" t="inlineStr">
        <is>
          <t>Exact deterministic formula.</t>
        </is>
      </c>
      <c r="M43" s="15" t="str"/>
      <c r="N43" s="15" t="n"/>
      <c r="O43" s="15" t="n"/>
      <c r="P43" s="15" t="n"/>
      <c r="Q43" s="15" t="inlineStr">
        <is>
          <t>NOT_AUTOMATED</t>
        </is>
      </c>
      <c r="R43" s="15" t="inlineStr">
        <is>
          <t>Chưa có automated test ánh xạ trực tiếp cho toàn bộ oracle của case này.</t>
        </is>
      </c>
      <c r="S43" s="26" t="n">
        <v>46249</v>
      </c>
    </row>
    <row r="44">
      <c r="A44" s="15" t="n">
        <v>43</v>
      </c>
      <c r="B44" s="15" t="inlineStr">
        <is>
          <t>F1-TC-043</t>
        </is>
      </c>
      <c r="C44" s="15" t="inlineStr">
        <is>
          <t>F1-US3</t>
        </is>
      </c>
      <c r="D44" s="15" t="inlineStr">
        <is>
          <t>Charging Time</t>
        </is>
      </c>
      <c r="E44" s="22" t="inlineStr">
        <is>
          <t>P1</t>
        </is>
      </c>
      <c r="F44" s="24" t="inlineStr">
        <is>
          <t>FIXTURE</t>
        </is>
      </c>
      <c r="G44" s="15" t="inlineStr">
        <is>
          <t>Trạm yếu hơn xe</t>
        </is>
      </c>
      <c r="H44" s="15" t="inlineStr">
        <is>
          <t>Trạm 60 kW, xe 100 kW.</t>
        </is>
      </c>
      <c r="I44" s="15" t="inlineStr">
        <is>
          <t>Fixture station=60 kW.</t>
        </is>
      </c>
      <c r="J44" s="15" t="inlineStr">
        <is>
          <t>1. Lập plan.</t>
        </is>
      </c>
      <c r="K44" s="15" t="inlineStr">
        <is>
          <t>Công suất hiệu dụng = 60×0.85 = 51 kW; thời gian sạc dài hơn case 250 kW với cùng energy added.</t>
        </is>
      </c>
      <c r="L44" s="15" t="inlineStr">
        <is>
          <t>Exact deterministic formula.</t>
        </is>
      </c>
      <c r="M44" s="15" t="str"/>
      <c r="N44" s="15" t="n"/>
      <c r="O44" s="15" t="n"/>
      <c r="P44" s="15" t="n"/>
      <c r="Q44" s="15" t="inlineStr">
        <is>
          <t>NOT_AUTOMATED</t>
        </is>
      </c>
      <c r="R44" s="15" t="inlineStr">
        <is>
          <t>Chưa có automated test ánh xạ trực tiếp cho toàn bộ oracle của case này.</t>
        </is>
      </c>
      <c r="S44" s="26" t="n">
        <v>46249</v>
      </c>
    </row>
    <row r="45">
      <c r="A45" s="15" t="n">
        <v>44</v>
      </c>
      <c r="B45" s="15" t="inlineStr">
        <is>
          <t>F1-TC-044</t>
        </is>
      </c>
      <c r="C45" s="15" t="inlineStr">
        <is>
          <t>F1-US3</t>
        </is>
      </c>
      <c r="D45" s="15" t="inlineStr">
        <is>
          <t>Charge Target</t>
        </is>
      </c>
      <c r="E45" s="18" t="inlineStr">
        <is>
          <t>P0</t>
        </is>
      </c>
      <c r="F45" s="24" t="inlineStr">
        <is>
          <t>FIXTURE</t>
        </is>
      </c>
      <c r="G45" s="15" t="inlineStr">
        <is>
          <t>Mặc định sạc đến 80%</t>
        </is>
      </c>
      <c r="H45" s="15" t="inlineStr">
        <is>
          <t>Chặng kế tiếp chỉ cần SOC dưới 80% để an toàn.</t>
        </is>
      </c>
      <c r="I45" s="15" t="inlineStr">
        <is>
          <t>Fixture route/energy phù hợp.</t>
        </is>
      </c>
      <c r="J45" s="15" t="inlineStr">
        <is>
          <t>1. Lập plan.</t>
        </is>
      </c>
      <c r="K45" s="15" t="inlineStr">
        <is>
          <t>Departure SOC mục tiêu = 80% (hoặc mức policy tương đương) nếu không cần cao hơn.</t>
        </is>
      </c>
      <c r="L45" s="15" t="inlineStr">
        <is>
          <t>Exact fixture expected departure SOC.</t>
        </is>
      </c>
      <c r="M45" s="15" t="str"/>
      <c r="N45" s="15" t="n"/>
      <c r="O45" s="15" t="n"/>
      <c r="P45" s="15" t="n"/>
      <c r="Q45" s="15" t="inlineStr">
        <is>
          <t>NOT_AUTOMATED</t>
        </is>
      </c>
      <c r="R45" s="15" t="inlineStr">
        <is>
          <t>Chưa có automated test ánh xạ trực tiếp cho toàn bộ oracle của case này.</t>
        </is>
      </c>
      <c r="S45" s="26" t="n">
        <v>46249</v>
      </c>
    </row>
    <row r="46">
      <c r="A46" s="15" t="n">
        <v>45</v>
      </c>
      <c r="B46" s="15" t="inlineStr">
        <is>
          <t>F1-TC-045</t>
        </is>
      </c>
      <c r="C46" s="15" t="inlineStr">
        <is>
          <t>F1-US3</t>
        </is>
      </c>
      <c r="D46" s="15" t="inlineStr">
        <is>
          <t>Charge Target</t>
        </is>
      </c>
      <c r="E46" s="18" t="inlineStr">
        <is>
          <t>P0</t>
        </is>
      </c>
      <c r="F46" s="24" t="inlineStr">
        <is>
          <t>FIXTURE</t>
        </is>
      </c>
      <c r="G46" s="15" t="inlineStr">
        <is>
          <t>Cho phép sạc trên 80% khi chặng sau cần</t>
        </is>
      </c>
      <c r="H46" s="15" t="inlineStr">
        <is>
          <t>Leg kế tiếp dài, 80% không đủ reserve nhưng 90% đủ.</t>
        </is>
      </c>
      <c r="I46" s="15" t="inlineStr">
        <is>
          <t>Fixture yêu cầu target≈90%.</t>
        </is>
      </c>
      <c r="J46" s="15" t="inlineStr">
        <is>
          <t>1. Lập plan.</t>
        </is>
      </c>
      <c r="K46" s="15" t="inlineStr">
        <is>
          <t>Planner tăng target trên 80% đến mức cần thiết, tối đa 100%; không từ chối sai vì mặc định 80%.</t>
        </is>
      </c>
      <c r="L46" s="15" t="inlineStr">
        <is>
          <t>Exact expected target within [80,100].</t>
        </is>
      </c>
      <c r="M46" s="15" t="str"/>
      <c r="N46" s="15" t="inlineStr">
        <is>
          <t>test_charge_target_can_exceed_eighty_when_next_leg_requires_it</t>
        </is>
      </c>
      <c r="O46" s="15" t="inlineStr">
        <is>
          <t>tests/test_core/test_energy_planning.py</t>
        </is>
      </c>
      <c r="P46" s="15" t="inlineStr">
        <is>
          <t>Unit</t>
        </is>
      </c>
      <c r="Q46" s="15" t="inlineStr">
        <is>
          <t>PASS</t>
        </is>
      </c>
      <c r="R46" s="15" t="inlineStr">
        <is>
          <t>Chưa có automated test ánh xạ trực tiếp cho toàn bộ oracle của case này.</t>
        </is>
      </c>
      <c r="S46" s="26" t="n">
        <v>46249</v>
      </c>
    </row>
    <row r="47">
      <c r="A47" s="15" t="n">
        <v>46</v>
      </c>
      <c r="B47" s="15" t="inlineStr">
        <is>
          <t>F1-TC-046</t>
        </is>
      </c>
      <c r="C47" s="15" t="inlineStr">
        <is>
          <t>F1-US3</t>
        </is>
      </c>
      <c r="D47" s="15" t="inlineStr">
        <is>
          <t>Charge Target</t>
        </is>
      </c>
      <c r="E47" s="18" t="inlineStr">
        <is>
          <t>P0</t>
        </is>
      </c>
      <c r="F47" s="24" t="inlineStr">
        <is>
          <t>FIXTURE</t>
        </is>
      </c>
      <c r="G47" s="15" t="inlineStr">
        <is>
          <t>Sạc 100% vẫn không đủ</t>
        </is>
      </c>
      <c r="H47" s="15" t="inlineStr">
        <is>
          <t>Không trạm nào trong tầm sau khi sạc tối đa.</t>
        </is>
      </c>
      <c r="I47" s="15" t="inlineStr">
        <is>
          <t>Fixture next leg yêu cầu &gt;100%.</t>
        </is>
      </c>
      <c r="J47" s="15" t="inlineStr">
        <is>
          <t>1. Lập plan.</t>
        </is>
      </c>
      <c r="K47" s="15" t="inlineStr">
        <is>
          <t>Planner trả INFEASIBLE; không đặt departure SOC &gt;100 và không tạo station giả.</t>
        </is>
      </c>
      <c r="L47" s="15" t="inlineStr">
        <is>
          <t>NoFeasiblePlan exact reason.</t>
        </is>
      </c>
      <c r="M47" s="15" t="str"/>
      <c r="N47" s="15" t="n"/>
      <c r="O47" s="15" t="n"/>
      <c r="P47" s="15" t="n"/>
      <c r="Q47" s="15" t="inlineStr">
        <is>
          <t>NOT_AUTOMATED</t>
        </is>
      </c>
      <c r="R47" s="15" t="inlineStr">
        <is>
          <t>Chưa có automated test ánh xạ trực tiếp cho toàn bộ oracle của case này.</t>
        </is>
      </c>
      <c r="S47" s="26" t="n">
        <v>46249</v>
      </c>
    </row>
    <row r="48">
      <c r="A48" s="15" t="n">
        <v>47</v>
      </c>
      <c r="B48" s="15" t="inlineStr">
        <is>
          <t>F1-TC-047</t>
        </is>
      </c>
      <c r="C48" s="15" t="inlineStr">
        <is>
          <t>F1-US3</t>
        </is>
      </c>
      <c r="D48" s="15" t="inlineStr">
        <is>
          <t>Search Depth</t>
        </is>
      </c>
      <c r="E48" s="22" t="inlineStr">
        <is>
          <t>P1</t>
        </is>
      </c>
      <c r="F48" s="24" t="inlineStr">
        <is>
          <t>FIXTURE</t>
        </is>
      </c>
      <c r="G48" s="15" t="inlineStr">
        <is>
          <t>Chuỗi đúng 5 điểm sạc</t>
        </is>
      </c>
      <c r="H48" s="15" t="inlineStr">
        <is>
          <t>Một tuyến dài cần đúng 5 stop mới đạt reserve.</t>
        </is>
      </c>
      <c r="I48" s="15" t="inlineStr">
        <is>
          <t>Fixture feasible chain length=5.</t>
        </is>
      </c>
      <c r="J48" s="15" t="inlineStr">
        <is>
          <t>1. Lập plan.</t>
        </is>
      </c>
      <c r="K48" s="15" t="inlineStr">
        <is>
          <t>Planner có thể trả chuỗi 5 stop nếu thỏa constraints.</t>
        </is>
      </c>
      <c r="L48" s="15" t="inlineStr">
        <is>
          <t>Exact stop_count=5.</t>
        </is>
      </c>
      <c r="M48" s="15" t="str"/>
      <c r="N48" s="15" t="n"/>
      <c r="O48" s="15" t="n"/>
      <c r="P48" s="15" t="n"/>
      <c r="Q48" s="15" t="inlineStr">
        <is>
          <t>NOT_AUTOMATED</t>
        </is>
      </c>
      <c r="R48" s="15" t="inlineStr">
        <is>
          <t>Chưa có automated test ánh xạ trực tiếp cho toàn bộ oracle của case này.</t>
        </is>
      </c>
      <c r="S48" s="26" t="n">
        <v>46249</v>
      </c>
    </row>
    <row r="49">
      <c r="A49" s="15" t="n">
        <v>48</v>
      </c>
      <c r="B49" s="15" t="inlineStr">
        <is>
          <t>F1-TC-048</t>
        </is>
      </c>
      <c r="C49" s="15" t="inlineStr">
        <is>
          <t>F1-US3</t>
        </is>
      </c>
      <c r="D49" s="15" t="inlineStr">
        <is>
          <t>Search Depth</t>
        </is>
      </c>
      <c r="E49" s="22" t="inlineStr">
        <is>
          <t>P1</t>
        </is>
      </c>
      <c r="F49" s="24" t="inlineStr">
        <is>
          <t>FIXTURE</t>
        </is>
      </c>
      <c r="G49" s="15" t="inlineStr">
        <is>
          <t>Tuyến chỉ khả thi nếu cần hơn 5 điểm sạc</t>
        </is>
      </c>
      <c r="H49" s="15" t="inlineStr">
        <is>
          <t>Fixture đòi 6 stop để tới đích.</t>
        </is>
      </c>
      <c r="I49" s="15" t="inlineStr">
        <is>
          <t>Search limit=5 stops.</t>
        </is>
      </c>
      <c r="J49" s="15" t="inlineStr">
        <is>
          <t>1. Lập plan.</t>
        </is>
      </c>
      <c r="K49" s="15" t="inlineStr">
        <is>
          <t>Hệ thống không vượt giới hạn tìm kiếm âm thầm; trả không có phương án trong search scope hiện tại, không tạo chain cắt bớt không an toàn.</t>
        </is>
      </c>
      <c r="L49" s="15" t="inlineStr">
        <is>
          <t>NoFeasiblePlan/search-limit reason nếu implementation có reason riêng; tối thiểu no unsafe plan.</t>
        </is>
      </c>
      <c r="M49" s="15" t="str"/>
      <c r="N49" s="15" t="n"/>
      <c r="O49" s="15" t="n"/>
      <c r="P49" s="15" t="n"/>
      <c r="Q49" s="15" t="inlineStr">
        <is>
          <t>NOT_AUTOMATED</t>
        </is>
      </c>
      <c r="R49" s="15" t="inlineStr">
        <is>
          <t>Chưa có automated test ánh xạ trực tiếp cho toàn bộ oracle của case này.</t>
        </is>
      </c>
      <c r="S49" s="26" t="n">
        <v>46249</v>
      </c>
    </row>
    <row r="50">
      <c r="A50" s="15" t="n">
        <v>49</v>
      </c>
      <c r="B50" s="15" t="inlineStr">
        <is>
          <t>F1-TC-049</t>
        </is>
      </c>
      <c r="C50" s="15" t="inlineStr">
        <is>
          <t>F1-US3</t>
        </is>
      </c>
      <c r="D50" s="15" t="inlineStr">
        <is>
          <t>Waypoint Routing</t>
        </is>
      </c>
      <c r="E50" s="18" t="inlineStr">
        <is>
          <t>P0</t>
        </is>
      </c>
      <c r="F50" s="24" t="inlineStr">
        <is>
          <t>FIXTURE</t>
        </is>
      </c>
      <c r="G50" s="15" t="inlineStr">
        <is>
          <t>SOC từng leg dùng route waypoint thật</t>
        </is>
      </c>
      <c r="H50" s="15" t="inlineStr">
        <is>
          <t>Khoảng cách đường bộ tới trạm khác đáng kể đường thẳng.</t>
        </is>
      </c>
      <c r="I50" s="15" t="inlineStr">
        <is>
          <t>Fixture có direct-line 5 km nhưng Goong leg 9 km.</t>
        </is>
      </c>
      <c r="J50" s="15" t="inlineStr">
        <is>
          <t>1. Lập plan.
2. So SOC calculation với route leg.</t>
        </is>
      </c>
      <c r="K50" s="15" t="inlineStr">
        <is>
          <t>Energy/SOC dùng 9 km route leg, không dùng 5 km đường chim bay.</t>
        </is>
      </c>
      <c r="L50" s="15" t="inlineStr">
        <is>
          <t>Exact leg distance from route fixture drives energy.</t>
        </is>
      </c>
      <c r="M50" s="15" t="str"/>
      <c r="N50" s="15" t="n"/>
      <c r="O50" s="15" t="n"/>
      <c r="P50" s="15" t="n"/>
      <c r="Q50" s="15" t="inlineStr">
        <is>
          <t>NOT_AUTOMATED</t>
        </is>
      </c>
      <c r="R50" s="15" t="inlineStr">
        <is>
          <t>Chưa có automated test ánh xạ trực tiếp cho toàn bộ oracle của case này.</t>
        </is>
      </c>
      <c r="S50" s="26" t="n">
        <v>46249</v>
      </c>
    </row>
    <row r="51">
      <c r="A51" s="15" t="n">
        <v>50</v>
      </c>
      <c r="B51" s="15" t="inlineStr">
        <is>
          <t>F1-TC-050</t>
        </is>
      </c>
      <c r="C51" s="15" t="inlineStr">
        <is>
          <t>F1-US3</t>
        </is>
      </c>
      <c r="D51" s="15" t="inlineStr">
        <is>
          <t>Dense Urban</t>
        </is>
      </c>
      <c r="E51" s="22" t="inlineStr">
        <is>
          <t>P1</t>
        </is>
      </c>
      <c r="F51" s="24" t="inlineStr">
        <is>
          <t>FIXTURE</t>
        </is>
      </c>
      <c r="G51" s="15" t="inlineStr">
        <is>
          <t>Nhiều trạm dày đặc đầu tuyến</t>
        </is>
      </c>
      <c r="H51" s="15" t="inlineStr">
        <is>
          <t>Khu đô thị có rất nhiều trạm, dễ làm shortlist thiên lệch và bỏ trạm phía sau.</t>
        </is>
      </c>
      <c r="I51" s="15" t="inlineStr">
        <is>
          <t>Fixture dense candidates across route buckets.</t>
        </is>
      </c>
      <c r="J51" s="15" t="inlineStr">
        <is>
          <t>1. Chạy planner.
2. Kiểm tra detail-call shortlist.</t>
        </is>
      </c>
      <c r="K51" s="15" t="inlineStr">
        <is>
          <t>Adaptive detail budget vẫn bao phủ toàn tuyến và dành quota cho vùng 10 km đầu; không chỉ lấy các trạm gần origin.</t>
        </is>
      </c>
      <c r="L51" s="15" t="inlineStr">
        <is>
          <t>Expected coverage across buckets; feasible station farther route remains considered.</t>
        </is>
      </c>
      <c r="M51" s="15" t="str"/>
      <c r="N51" s="15" t="inlineStr">
        <is>
          <t>test_dense_short_route_uses_full_adaptive_detail_budget</t>
        </is>
      </c>
      <c r="O51" s="15" t="inlineStr">
        <is>
          <t>tests/test_core/test_vinfast_station_service.py</t>
        </is>
      </c>
      <c r="P51" s="15" t="inlineStr">
        <is>
          <t>Unit</t>
        </is>
      </c>
      <c r="Q51" s="15" t="inlineStr">
        <is>
          <t>PASS</t>
        </is>
      </c>
      <c r="R51" s="15" t="inlineStr">
        <is>
          <t>Chưa có automated test ánh xạ trực tiếp cho toàn bộ oracle của case này.</t>
        </is>
      </c>
      <c r="S51" s="26" t="n">
        <v>46249</v>
      </c>
    </row>
    <row r="52">
      <c r="A52" s="15" t="n">
        <v>51</v>
      </c>
      <c r="B52" s="15" t="inlineStr">
        <is>
          <t>F1-TC-051</t>
        </is>
      </c>
      <c r="C52" s="15" t="inlineStr">
        <is>
          <t>F1-US3</t>
        </is>
      </c>
      <c r="D52" s="15" t="inlineStr">
        <is>
          <t>Sparse Corridor</t>
        </is>
      </c>
      <c r="E52" s="18" t="inlineStr">
        <is>
          <t>P0</t>
        </is>
      </c>
      <c r="F52" s="24" t="inlineStr">
        <is>
          <t>FIXTURE</t>
        </is>
      </c>
      <c r="G52" s="15" t="inlineStr">
        <is>
          <t>Tuyến ít trạm nhưng vẫn có một chuỗi khả thi</t>
        </is>
      </c>
      <c r="H52" s="15" t="inlineStr">
        <is>
          <t>Giữa hai vùng xa chỉ có vài trạm CCS2.</t>
        </is>
      </c>
      <c r="I52" s="15" t="inlineStr">
        <is>
          <t>Fixture sparse stations.</t>
        </is>
      </c>
      <c r="J52" s="15" t="inlineStr">
        <is>
          <t>1. Lập plan.</t>
        </is>
      </c>
      <c r="K52" s="15" t="inlineStr">
        <is>
          <t>Planner tìm đúng chuỗi khả thi nếu tồn tại; không ưu tiên trạm gần nhất một cách greedy làm mất feasibility.</t>
        </is>
      </c>
      <c r="L52" s="15" t="inlineStr">
        <is>
          <t>Exact feasible station sequence.</t>
        </is>
      </c>
      <c r="M52" s="15" t="str"/>
      <c r="N52" s="15" t="n"/>
      <c r="O52" s="15" t="n"/>
      <c r="P52" s="15" t="n"/>
      <c r="Q52" s="15" t="inlineStr">
        <is>
          <t>NOT_AUTOMATED</t>
        </is>
      </c>
      <c r="R52" s="15" t="inlineStr">
        <is>
          <t>Chưa có automated test ánh xạ trực tiếp cho toàn bộ oracle của case này.</t>
        </is>
      </c>
      <c r="S52" s="26" t="n">
        <v>46249</v>
      </c>
    </row>
    <row r="53">
      <c r="A53" s="15" t="n">
        <v>52</v>
      </c>
      <c r="B53" s="15" t="inlineStr">
        <is>
          <t>F1-TC-052</t>
        </is>
      </c>
      <c r="C53" s="15" t="inlineStr">
        <is>
          <t>F1-US3</t>
        </is>
      </c>
      <c r="D53" s="15" t="inlineStr">
        <is>
          <t>Environment</t>
        </is>
      </c>
      <c r="E53" s="22" t="inlineStr">
        <is>
          <t>P1</t>
        </is>
      </c>
      <c r="F53" s="24" t="inlineStr">
        <is>
          <t>FIXTURE</t>
        </is>
      </c>
      <c r="G53" s="15" t="inlineStr">
        <is>
          <t>Mưa, gió, nhiệt độ và độ cao làm tăng tiêu hao</t>
        </is>
      </c>
      <c r="H53" s="15" t="inlineStr">
        <is>
          <t>Tuyến đồi, mưa/gió xấu so với baseline.</t>
        </is>
      </c>
      <c r="I53" s="15" t="inlineStr">
        <is>
          <t>Hai fixture cùng route/vehicle, khác environment.</t>
        </is>
      </c>
      <c r="J53" s="15" t="inlineStr">
        <is>
          <t>1. Chạy case baseline.
2. Chạy case adverse.
3. So effective consumption và SOC.</t>
        </is>
      </c>
      <c r="K53" s="15" t="inlineStr">
        <is>
          <t>Case adverse có effective consumption cao hơn theo model và SOC arrival thấp hơn; verdict có thể thay đổi nếu qua boundary.</t>
        </is>
      </c>
      <c r="L53" s="15" t="inlineStr">
        <is>
          <t>Deterministic comparison based on model fixture.</t>
        </is>
      </c>
      <c r="M53" s="15" t="str"/>
      <c r="N53" s="15" t="n"/>
      <c r="O53" s="15" t="n"/>
      <c r="P53" s="15" t="n"/>
      <c r="Q53" s="15" t="inlineStr">
        <is>
          <t>NOT_AUTOMATED</t>
        </is>
      </c>
      <c r="R53" s="15" t="inlineStr">
        <is>
          <t>Chưa có automated test ánh xạ trực tiếp cho toàn bộ oracle của case này.</t>
        </is>
      </c>
      <c r="S53" s="26" t="n">
        <v>46249</v>
      </c>
    </row>
    <row r="54">
      <c r="A54" s="15" t="n">
        <v>53</v>
      </c>
      <c r="B54" s="15" t="inlineStr">
        <is>
          <t>F1-TC-053</t>
        </is>
      </c>
      <c r="C54" s="15" t="inlineStr">
        <is>
          <t>F1-US3</t>
        </is>
      </c>
      <c r="D54" s="15" t="inlineStr">
        <is>
          <t>SOC Chart</t>
        </is>
      </c>
      <c r="E54" s="18" t="inlineStr">
        <is>
          <t>P0</t>
        </is>
      </c>
      <c r="F54" s="24" t="inlineStr">
        <is>
          <t>FIXTURE</t>
        </is>
      </c>
      <c r="G54" s="15" t="inlineStr">
        <is>
          <t>Biểu đồ SOC phản ánh đúng từng leg và điểm sạc</t>
        </is>
      </c>
      <c r="H54" s="15" t="inlineStr">
        <is>
          <t>Plan có một stop sạc.</t>
        </is>
      </c>
      <c r="I54" s="15" t="inlineStr">
        <is>
          <t>Fixture soc_points cố định.</t>
        </is>
      </c>
      <c r="J54" s="15" t="inlineStr">
        <is>
          <t>1. Render plan.
2. So chart với API.</t>
        </is>
      </c>
      <c r="K54" s="15" t="inlineStr">
        <is>
          <t>SOC giảm khi lái, tăng tại charging stop, final SOC khớp API; reserve line 15% hiển thị đúng.</t>
        </is>
      </c>
      <c r="L54" s="15" t="inlineStr">
        <is>
          <t>Exact soc_points from backend.</t>
        </is>
      </c>
      <c r="M54" s="15" t="str"/>
      <c r="N54" s="15" t="n"/>
      <c r="O54" s="15" t="n"/>
      <c r="P54" s="15" t="n"/>
      <c r="Q54" s="15" t="inlineStr">
        <is>
          <t>NOT_AUTOMATED</t>
        </is>
      </c>
      <c r="R54" s="15" t="inlineStr">
        <is>
          <t>Chưa có automated test ánh xạ trực tiếp cho toàn bộ oracle của case này.</t>
        </is>
      </c>
      <c r="S54" s="26" t="n">
        <v>46249</v>
      </c>
    </row>
    <row r="55">
      <c r="A55" s="15" t="n">
        <v>54</v>
      </c>
      <c r="B55" s="15" t="inlineStr">
        <is>
          <t>F1-TC-054</t>
        </is>
      </c>
      <c r="C55" s="15" t="inlineStr">
        <is>
          <t>F1-US3</t>
        </is>
      </c>
      <c r="D55" s="15" t="inlineStr">
        <is>
          <t>Risk UI</t>
        </is>
      </c>
      <c r="E55" s="22" t="inlineStr">
        <is>
          <t>P1</t>
        </is>
      </c>
      <c r="F55" s="24" t="inlineStr">
        <is>
          <t>FIXTURE</t>
        </is>
      </c>
      <c r="G55" s="15" t="inlineStr">
        <is>
          <t>Risk banner và reason codes nhất quán</t>
        </is>
      </c>
      <c r="H55" s="15" t="inlineStr">
        <is>
          <t>Backend trả LOW/MEDIUM/HIGH cùng reason_codes.</t>
        </is>
      </c>
      <c r="I55" s="15" t="inlineStr">
        <is>
          <t>Fixtures cho từng level.</t>
        </is>
      </c>
      <c r="J55" s="15" t="inlineStr">
        <is>
          <t>1. Render từng response.</t>
        </is>
      </c>
      <c r="K55" s="15" t="inlineStr">
        <is>
          <t>UI hiển thị đúng level, risk_score/reasons tương ứng; không tự đổi verdict.</t>
        </is>
      </c>
      <c r="L55" s="15" t="inlineStr">
        <is>
          <t>Exact backend response = UI.</t>
        </is>
      </c>
      <c r="M55" s="15" t="str"/>
      <c r="N55" s="15" t="n"/>
      <c r="O55" s="15" t="n"/>
      <c r="P55" s="15" t="n"/>
      <c r="Q55" s="15" t="inlineStr">
        <is>
          <t>NOT_AUTOMATED</t>
        </is>
      </c>
      <c r="R55" s="15" t="inlineStr">
        <is>
          <t>Chưa có automated test ánh xạ trực tiếp cho toàn bộ oracle của case này.</t>
        </is>
      </c>
      <c r="S55" s="26" t="n">
        <v>46249</v>
      </c>
    </row>
    <row r="56">
      <c r="A56" s="15" t="n">
        <v>55</v>
      </c>
      <c r="B56" s="15" t="inlineStr">
        <is>
          <t>F1-TC-055</t>
        </is>
      </c>
      <c r="C56" s="15" t="inlineStr">
        <is>
          <t>F1-US3</t>
        </is>
      </c>
      <c r="D56" s="15" t="inlineStr">
        <is>
          <t>Plan Persistence</t>
        </is>
      </c>
      <c r="E56" s="22" t="inlineStr">
        <is>
          <t>P1</t>
        </is>
      </c>
      <c r="F56" s="24" t="inlineStr">
        <is>
          <t>FIXTURE</t>
        </is>
      </c>
      <c r="G56" s="15" t="inlineStr">
        <is>
          <t>Plan hợp lệ được lưu PENDING</t>
        </is>
      </c>
      <c r="H56" s="15" t="inlineStr">
        <is>
          <t>Planner tạo một proposal feasible.</t>
        </is>
      </c>
      <c r="I56" s="15" t="inlineStr">
        <is>
          <t>DB test environment.</t>
        </is>
      </c>
      <c r="J56" s="15" t="inlineStr">
        <is>
          <t>1. Tạo trip.
2. Tạo plan.
3. Query PlanVersion.</t>
        </is>
      </c>
      <c r="K56" s="15" t="inlineStr">
        <is>
          <t>PlanVersion được lưu ở trạng thái PENDING/PENDING_CONFIRMATION theo implementation; chưa tự xác nhận.</t>
        </is>
      </c>
      <c r="L56" s="15" t="inlineStr">
        <is>
          <t>DB state assertion.</t>
        </is>
      </c>
      <c r="M56" s="15" t="inlineStr">
        <is>
          <t>Giao điểm với F2 nhưng F1-US3 hiện đã lưu PENDING.</t>
        </is>
      </c>
      <c r="N56" s="15" t="n"/>
      <c r="O56" s="15" t="n"/>
      <c r="P56" s="15" t="n"/>
      <c r="Q56" s="15" t="inlineStr">
        <is>
          <t>NOT_AUTOMATED</t>
        </is>
      </c>
      <c r="R56" s="15" t="inlineStr">
        <is>
          <t>Chưa có automated test ánh xạ trực tiếp cho toàn bộ oracle của case này.</t>
        </is>
      </c>
      <c r="S56" s="26" t="n">
        <v>46249</v>
      </c>
    </row>
    <row r="57">
      <c r="A57" s="15" t="n">
        <v>56</v>
      </c>
      <c r="B57" s="15" t="inlineStr">
        <is>
          <t>F1-TC-056</t>
        </is>
      </c>
      <c r="C57" s="15" t="inlineStr">
        <is>
          <t>F1-US4</t>
        </is>
      </c>
      <c r="D57" s="15" t="inlineStr">
        <is>
          <t>Safety Boundary</t>
        </is>
      </c>
      <c r="E57" s="18" t="inlineStr">
        <is>
          <t>P0</t>
        </is>
      </c>
      <c r="F57" s="24" t="inlineStr">
        <is>
          <t>FIXTURE</t>
        </is>
      </c>
      <c r="G57" s="15" t="inlineStr">
        <is>
          <t>SOC ban đầu dưới reserve</t>
        </is>
      </c>
      <c r="H57" s="15" t="inlineStr">
        <is>
          <t>Người dùng bắt đầu với 14.9%.</t>
        </is>
      </c>
      <c r="I57" s="15" t="inlineStr">
        <is>
          <t>Resolved route; SOC=14.9%.</t>
        </is>
      </c>
      <c r="J57" s="15" t="inlineStr">
        <is>
          <t>1. Lập plan.</t>
        </is>
      </c>
      <c r="K57" s="15" t="inlineStr">
        <is>
          <t>INFEASIBLE; không lưu plan có thể xác nhận; charging_stops rỗng trong NoFeasiblePlan.</t>
        </is>
      </c>
      <c r="L57" s="15" t="inlineStr">
        <is>
          <t>Exact boundary: initial SOC &lt;15 =&gt; infeasible.</t>
        </is>
      </c>
      <c r="M57" s="15" t="str"/>
      <c r="N57" s="15" t="inlineStr">
        <is>
          <t>test_generate_trip_plan_infeasible_low_soc</t>
        </is>
      </c>
      <c r="O57" s="15" t="inlineStr">
        <is>
          <t>tests/test_api/test_planning.py</t>
        </is>
      </c>
      <c r="P57" s="15" t="inlineStr">
        <is>
          <t>API integration</t>
        </is>
      </c>
      <c r="Q57" s="15" t="inlineStr">
        <is>
          <t>PASS</t>
        </is>
      </c>
      <c r="R57" s="15" t="inlineStr">
        <is>
          <t>Chưa có automated test ánh xạ trực tiếp cho toàn bộ oracle của case này.</t>
        </is>
      </c>
      <c r="S57" s="26" t="n">
        <v>46249</v>
      </c>
    </row>
    <row r="58">
      <c r="A58" s="15" t="n">
        <v>57</v>
      </c>
      <c r="B58" s="15" t="inlineStr">
        <is>
          <t>F1-TC-057</t>
        </is>
      </c>
      <c r="C58" s="15" t="inlineStr">
        <is>
          <t>F1-US4</t>
        </is>
      </c>
      <c r="D58" s="15" t="inlineStr">
        <is>
          <t>Safety Boundary</t>
        </is>
      </c>
      <c r="E58" s="18" t="inlineStr">
        <is>
          <t>P0</t>
        </is>
      </c>
      <c r="F58" s="24" t="inlineStr">
        <is>
          <t>FIXTURE</t>
        </is>
      </c>
      <c r="G58" s="15" t="inlineStr">
        <is>
          <t>SOC đúng reserve 15%</t>
        </is>
      </c>
      <c r="H58" s="15" t="inlineStr">
        <is>
          <t>Xe có đúng 15% và có station tại/nhẹ phía sau origin vẫn tới được mà không xuống dưới 15%.</t>
        </is>
      </c>
      <c r="I58" s="15" t="inlineStr">
        <is>
          <t>Fixture đặt station ngay origin hoặc chặng tới station có energy=0; arrival SOC=15.0%; các leg sau hợp lệ.</t>
        </is>
      </c>
      <c r="J58" s="15" t="inlineStr">
        <is>
          <t>1. Lập plan.</t>
        </is>
      </c>
      <c r="K58" s="15" t="inlineStr">
        <is>
          <t>Boundary đúng 15% được coi là đạt reserve; plan feasible nếu toàn bộ leg còn lại cũng giữ SOC ≥15%.</t>
        </is>
      </c>
      <c r="L58" s="15" t="inlineStr">
        <is>
          <t>Exact: station progress=0 hoặc leg energy=0; arrival SOC=15.0% passes.</t>
        </is>
      </c>
      <c r="M58" s="15" t="str"/>
      <c r="N58" s="15" t="inlineStr">
        <is>
          <t>test_station_at_origin_with_soc_exactly_at_reserve_is_feasible</t>
        </is>
      </c>
      <c r="O58" s="15" t="inlineStr">
        <is>
          <t>tests/test_core/test_energy_planning.py</t>
        </is>
      </c>
      <c r="P58" s="15" t="inlineStr">
        <is>
          <t>Unit</t>
        </is>
      </c>
      <c r="Q58" s="15" t="inlineStr">
        <is>
          <t>PASS</t>
        </is>
      </c>
      <c r="R58" s="15" t="inlineStr">
        <is>
          <t>Chưa có automated test ánh xạ trực tiếp cho toàn bộ oracle của case này.</t>
        </is>
      </c>
      <c r="S58" s="26" t="n">
        <v>46249</v>
      </c>
    </row>
    <row r="59">
      <c r="A59" s="15" t="n">
        <v>58</v>
      </c>
      <c r="B59" s="15" t="inlineStr">
        <is>
          <t>F1-TC-058</t>
        </is>
      </c>
      <c r="C59" s="15" t="inlineStr">
        <is>
          <t>F1-US4</t>
        </is>
      </c>
      <c r="D59" s="15" t="inlineStr">
        <is>
          <t>Safety Boundary</t>
        </is>
      </c>
      <c r="E59" s="18" t="inlineStr">
        <is>
          <t>P0</t>
        </is>
      </c>
      <c r="F59" s="24" t="inlineStr">
        <is>
          <t>FIXTURE</t>
        </is>
      </c>
      <c r="G59" s="15" t="inlineStr">
        <is>
          <t>Arrival SOC tại trạm = 14.9%</t>
        </is>
      </c>
      <c r="H59" s="15" t="inlineStr">
        <is>
          <t>Trạm phù hợp nhưng xe đến nơi dưới reserve.</t>
        </is>
      </c>
      <c r="I59" s="15" t="inlineStr">
        <is>
          <t>Fixture calculated arrival=14.9%.</t>
        </is>
      </c>
      <c r="J59" s="15" t="inlineStr">
        <is>
          <t>1. Lập plan.</t>
        </is>
      </c>
      <c r="K59" s="15" t="inlineStr">
        <is>
          <t>Candidate/chain bị loại; nếu không còn chain khác thì INFEASIBLE.</t>
        </is>
      </c>
      <c r="L59" s="15" t="inlineStr">
        <is>
          <t>Exact &lt;15 fails.</t>
        </is>
      </c>
      <c r="M59" s="15" t="str"/>
      <c r="N59" s="15" t="inlineStr">
        <is>
          <t>test_arrival_below_reserve_is_infeasible</t>
        </is>
      </c>
      <c r="O59" s="15" t="inlineStr">
        <is>
          <t>tests/test_core/test_feasibility.py</t>
        </is>
      </c>
      <c r="P59" s="15" t="inlineStr">
        <is>
          <t>Unit</t>
        </is>
      </c>
      <c r="Q59" s="15" t="inlineStr">
        <is>
          <t>PASS</t>
        </is>
      </c>
      <c r="R59" s="15" t="inlineStr">
        <is>
          <t>Chưa có automated test ánh xạ trực tiếp cho toàn bộ oracle của case này.</t>
        </is>
      </c>
      <c r="S59" s="26" t="n">
        <v>46249</v>
      </c>
    </row>
    <row r="60">
      <c r="A60" s="15" t="n">
        <v>59</v>
      </c>
      <c r="B60" s="15" t="inlineStr">
        <is>
          <t>F1-TC-059</t>
        </is>
      </c>
      <c r="C60" s="15" t="inlineStr">
        <is>
          <t>F1-US4</t>
        </is>
      </c>
      <c r="D60" s="15" t="inlineStr">
        <is>
          <t>Safety Boundary</t>
        </is>
      </c>
      <c r="E60" s="18" t="inlineStr">
        <is>
          <t>P0</t>
        </is>
      </c>
      <c r="F60" s="24" t="inlineStr">
        <is>
          <t>FIXTURE</t>
        </is>
      </c>
      <c r="G60" s="15" t="inlineStr">
        <is>
          <t>Arrival SOC tại trạm = 15.0%</t>
        </is>
      </c>
      <c r="H60" s="15" t="inlineStr">
        <is>
          <t>Xe đến trạm đúng ngưỡng.</t>
        </is>
      </c>
      <c r="I60" s="15" t="inlineStr">
        <is>
          <t>Fixture calculated arrival=15.0%.</t>
        </is>
      </c>
      <c r="J60" s="15" t="inlineStr">
        <is>
          <t>1. Lập plan.</t>
        </is>
      </c>
      <c r="K60" s="15" t="inlineStr">
        <is>
          <t>Không bị loại chỉ vì bằng ngưỡng; tiếp tục kiểm tra các constraint khác.</t>
        </is>
      </c>
      <c r="L60" s="15" t="inlineStr">
        <is>
          <t>Exact &gt;=15 passes.</t>
        </is>
      </c>
      <c r="M60" s="15" t="str"/>
      <c r="N60" s="15" t="inlineStr">
        <is>
          <t>test_station_at_origin_with_soc_exactly_at_reserve_is_feasible</t>
        </is>
      </c>
      <c r="O60" s="15" t="inlineStr">
        <is>
          <t>tests/test_core/test_energy_planning.py</t>
        </is>
      </c>
      <c r="P60" s="15" t="inlineStr">
        <is>
          <t>Unit</t>
        </is>
      </c>
      <c r="Q60" s="15" t="inlineStr">
        <is>
          <t>PASS</t>
        </is>
      </c>
      <c r="R60" s="15" t="inlineStr">
        <is>
          <t>Chưa có automated test ánh xạ trực tiếp cho toàn bộ oracle của case này.</t>
        </is>
      </c>
      <c r="S60" s="26" t="n">
        <v>46249</v>
      </c>
    </row>
    <row r="61">
      <c r="A61" s="15" t="n">
        <v>60</v>
      </c>
      <c r="B61" s="15" t="inlineStr">
        <is>
          <t>F1-TC-060</t>
        </is>
      </c>
      <c r="C61" s="15" t="inlineStr">
        <is>
          <t>F1-US4</t>
        </is>
      </c>
      <c r="D61" s="15" t="inlineStr">
        <is>
          <t>Safety Boundary</t>
        </is>
      </c>
      <c r="E61" s="18" t="inlineStr">
        <is>
          <t>P0</t>
        </is>
      </c>
      <c r="F61" s="24" t="inlineStr">
        <is>
          <t>FIXTURE</t>
        </is>
      </c>
      <c r="G61" s="15" t="inlineStr">
        <is>
          <t>SOC đến đích dưới 15%</t>
        </is>
      </c>
      <c r="H61" s="15" t="inlineStr">
        <is>
          <t>Mọi trạm trước đó ổn nhưng final arrival SOC=12%.</t>
        </is>
      </c>
      <c r="I61" s="15" t="inlineStr">
        <is>
          <t>Fixture final_soc=12%.</t>
        </is>
      </c>
      <c r="J61" s="15" t="inlineStr">
        <is>
          <t>1. Lập plan.</t>
        </is>
      </c>
      <c r="K61" s="15" t="inlineStr">
        <is>
          <t>INFEASIBLE; không mô tả chuyến đi là an toàn.</t>
        </is>
      </c>
      <c r="L61" s="15" t="inlineStr">
        <is>
          <t>Exact final SOC &lt;15 fails.</t>
        </is>
      </c>
      <c r="M61" s="15" t="str"/>
      <c r="N61" s="15" t="n"/>
      <c r="O61" s="15" t="n"/>
      <c r="P61" s="15" t="n"/>
      <c r="Q61" s="15" t="inlineStr">
        <is>
          <t>NOT_AUTOMATED</t>
        </is>
      </c>
      <c r="R61" s="15" t="inlineStr">
        <is>
          <t>Chưa có automated test ánh xạ trực tiếp cho toàn bộ oracle của case này.</t>
        </is>
      </c>
      <c r="S61" s="26" t="n">
        <v>46249</v>
      </c>
    </row>
    <row r="62">
      <c r="A62" s="15" t="n">
        <v>61</v>
      </c>
      <c r="B62" s="15" t="inlineStr">
        <is>
          <t>F1-TC-061</t>
        </is>
      </c>
      <c r="C62" s="15" t="inlineStr">
        <is>
          <t>F1-US4</t>
        </is>
      </c>
      <c r="D62" s="15" t="inlineStr">
        <is>
          <t>Safety</t>
        </is>
      </c>
      <c r="E62" s="18" t="inlineStr">
        <is>
          <t>P0</t>
        </is>
      </c>
      <c r="F62" s="24" t="inlineStr">
        <is>
          <t>FIXTURE</t>
        </is>
      </c>
      <c r="G62" s="15" t="inlineStr">
        <is>
          <t>Không có trạm CCS2 tương thích</t>
        </is>
      </c>
      <c r="H62" s="15" t="inlineStr">
        <is>
          <t>Dọc tuyến chỉ có trạm sai connector.</t>
        </is>
      </c>
      <c r="I62" s="15" t="inlineStr">
        <is>
          <t>Fixture no CCS2 candidate.</t>
        </is>
      </c>
      <c r="J62" s="15" t="inlineStr">
        <is>
          <t>1. Lập plan.</t>
        </is>
      </c>
      <c r="K62" s="15" t="inlineStr">
        <is>
          <t>INFEASIBLE với reason rõ; evaluated_station_count phản ánh các candidate đã đánh giá; không tạo trạm giả.</t>
        </is>
      </c>
      <c r="L62" s="15" t="inlineStr">
        <is>
          <t>NoFeasiblePlan exact reason set.</t>
        </is>
      </c>
      <c r="M62" s="15" t="str"/>
      <c r="N62" s="15" t="inlineStr">
        <is>
          <t>test_no_compatible_corridor_station_is_infeasible_when_charging_is_required</t>
        </is>
      </c>
      <c r="O62" s="15" t="inlineStr">
        <is>
          <t>tests/test_core/test_feasibility.py</t>
        </is>
      </c>
      <c r="P62" s="15" t="inlineStr">
        <is>
          <t>Unit</t>
        </is>
      </c>
      <c r="Q62" s="15" t="inlineStr">
        <is>
          <t>PASS</t>
        </is>
      </c>
      <c r="R62" s="15" t="inlineStr">
        <is>
          <t>Chưa có automated test ánh xạ trực tiếp cho toàn bộ oracle của case này.</t>
        </is>
      </c>
      <c r="S62" s="26" t="n">
        <v>46249</v>
      </c>
    </row>
    <row r="63">
      <c r="A63" s="15" t="n">
        <v>62</v>
      </c>
      <c r="B63" s="15" t="inlineStr">
        <is>
          <t>F1-TC-062</t>
        </is>
      </c>
      <c r="C63" s="15" t="inlineStr">
        <is>
          <t>F1-US4</t>
        </is>
      </c>
      <c r="D63" s="15" t="inlineStr">
        <is>
          <t>Safety</t>
        </is>
      </c>
      <c r="E63" s="18" t="inlineStr">
        <is>
          <t>P0</t>
        </is>
      </c>
      <c r="F63" s="24" t="inlineStr">
        <is>
          <t>FIXTURE</t>
        </is>
      </c>
      <c r="G63" s="15" t="inlineStr">
        <is>
          <t>Có CCS2 nhưng không thể tới trạm tiếp theo</t>
        </is>
      </c>
      <c r="H63" s="15" t="inlineStr">
        <is>
          <t>Trạm phù hợp connector nhưng quá xa so với SOC hiện tại.</t>
        </is>
      </c>
      <c r="I63" s="15" t="inlineStr">
        <is>
          <t>Fixture station beyond reachable energy.</t>
        </is>
      </c>
      <c r="J63" s="15" t="inlineStr">
        <is>
          <t>1. Lập plan.</t>
        </is>
      </c>
      <c r="K63" s="15" t="inlineStr">
        <is>
          <t>INFEASIBLE/UNREACHABLE_NEXT_STATION; không chọn trạm chỉ vì đúng connector.</t>
        </is>
      </c>
      <c r="L63" s="15" t="inlineStr">
        <is>
          <t>Exact reason and no plan.</t>
        </is>
      </c>
      <c r="M63" s="15" t="str"/>
      <c r="N63" s="15" t="inlineStr">
        <is>
          <t>test_unreachable_next_station_is_infeasible</t>
        </is>
      </c>
      <c r="O63" s="15" t="inlineStr">
        <is>
          <t>tests/test_core/test_feasibility.py</t>
        </is>
      </c>
      <c r="P63" s="15" t="inlineStr">
        <is>
          <t>Unit</t>
        </is>
      </c>
      <c r="Q63" s="15" t="inlineStr">
        <is>
          <t>PASS</t>
        </is>
      </c>
      <c r="R63" s="15" t="inlineStr">
        <is>
          <t>Chưa có automated test ánh xạ trực tiếp cho toàn bộ oracle của case này.</t>
        </is>
      </c>
      <c r="S63" s="26" t="n">
        <v>46249</v>
      </c>
    </row>
    <row r="64">
      <c r="A64" s="15" t="n">
        <v>63</v>
      </c>
      <c r="B64" s="15" t="inlineStr">
        <is>
          <t>F1-TC-063</t>
        </is>
      </c>
      <c r="C64" s="15" t="inlineStr">
        <is>
          <t>F1-US4</t>
        </is>
      </c>
      <c r="D64" s="15" t="inlineStr">
        <is>
          <t>Safety</t>
        </is>
      </c>
      <c r="E64" s="18" t="inlineStr">
        <is>
          <t>P0</t>
        </is>
      </c>
      <c r="F64" s="24" t="inlineStr">
        <is>
          <t>FIXTURE</t>
        </is>
      </c>
      <c r="G64" s="15" t="inlineStr">
        <is>
          <t>Station quay lại vượt năng lượng an toàn</t>
        </is>
      </c>
      <c r="H64" s="15" t="inlineStr">
        <is>
          <t>Trạm phía sau origin nằm trong khoảng detour policy nhưng SOC tới trạm &lt;15%.</t>
        </is>
      </c>
      <c r="I64" s="15" t="inlineStr">
        <is>
          <t>Fixture backtrack route arrival=14%.</t>
        </is>
      </c>
      <c r="J64" s="15" t="inlineStr">
        <is>
          <t>1. Lập plan.</t>
        </is>
      </c>
      <c r="K64" s="15" t="inlineStr">
        <is>
          <t>Station bị loại vì energy/reserve dù detour hợp lệ.</t>
        </is>
      </c>
      <c r="L64" s="15" t="inlineStr">
        <is>
          <t>Exact candidate rejected.</t>
        </is>
      </c>
      <c r="M64" s="15" t="str"/>
      <c r="N64" s="15" t="inlineStr">
        <is>
          <t>test_backtrack_is_rejected_when_station_arrival_breaks_reserve</t>
        </is>
      </c>
      <c r="O64" s="15" t="inlineStr">
        <is>
          <t>tests/test_core/test_energy_planning.py</t>
        </is>
      </c>
      <c r="P64" s="15" t="inlineStr">
        <is>
          <t>Unit</t>
        </is>
      </c>
      <c r="Q64" s="15" t="inlineStr">
        <is>
          <t>PASS</t>
        </is>
      </c>
      <c r="R64" s="15" t="inlineStr">
        <is>
          <t>Chưa có automated test ánh xạ trực tiếp cho toàn bộ oracle của case này.</t>
        </is>
      </c>
      <c r="S64" s="26" t="n">
        <v>46249</v>
      </c>
    </row>
    <row r="65">
      <c r="A65" s="15" t="n">
        <v>64</v>
      </c>
      <c r="B65" s="15" t="inlineStr">
        <is>
          <t>F1-TC-064</t>
        </is>
      </c>
      <c r="C65" s="15" t="inlineStr">
        <is>
          <t>F1-US4</t>
        </is>
      </c>
      <c r="D65" s="15" t="inlineStr">
        <is>
          <t>Safety</t>
        </is>
      </c>
      <c r="E65" s="18" t="inlineStr">
        <is>
          <t>P0</t>
        </is>
      </c>
      <c r="F65" s="24" t="inlineStr">
        <is>
          <t>FIXTURE</t>
        </is>
      </c>
      <c r="G65" s="15" t="inlineStr">
        <is>
          <t>Không tồn tại chuỗi trạm thỏa tất cả hard constraints</t>
        </is>
      </c>
      <c r="H65" s="15" t="inlineStr">
        <is>
          <t>Có nhiều trạm nhưng mỗi chuỗi đều vi phạm ít nhất một constraint.</t>
        </is>
      </c>
      <c r="I65" s="15" t="inlineStr">
        <is>
          <t>Fixture mixed failures.</t>
        </is>
      </c>
      <c r="J65" s="15" t="inlineStr">
        <is>
          <t>1. Lập plan.</t>
        </is>
      </c>
      <c r="K65" s="15" t="inlineStr">
        <is>
          <t>NoFeasiblePlan; charging_stops=[]; trả reason_codes, minimum_initial_soc_percent, evaluated_station_count, suggestions và search_scope nếu contract hiện hành có.</t>
        </is>
      </c>
      <c r="L65" s="15" t="inlineStr">
        <is>
          <t>Exact NoFeasiblePlan structure.</t>
        </is>
      </c>
      <c r="M65" s="15" t="str"/>
      <c r="N65" s="15" t="n"/>
      <c r="O65" s="15" t="n"/>
      <c r="P65" s="15" t="n"/>
      <c r="Q65" s="15" t="inlineStr">
        <is>
          <t>NOT_AUTOMATED</t>
        </is>
      </c>
      <c r="R65" s="15" t="inlineStr">
        <is>
          <t>Chưa có automated test ánh xạ trực tiếp cho toàn bộ oracle của case này.</t>
        </is>
      </c>
      <c r="S65" s="26" t="n">
        <v>46249</v>
      </c>
    </row>
    <row r="66">
      <c r="A66" s="15" t="n">
        <v>65</v>
      </c>
      <c r="B66" s="15" t="inlineStr">
        <is>
          <t>F1-TC-065</t>
        </is>
      </c>
      <c r="C66" s="15" t="inlineStr">
        <is>
          <t>F1-US4</t>
        </is>
      </c>
      <c r="D66" s="15" t="inlineStr">
        <is>
          <t>Provider Failure</t>
        </is>
      </c>
      <c r="E66" s="18" t="inlineStr">
        <is>
          <t>P0</t>
        </is>
      </c>
      <c r="F66" s="24" t="inlineStr">
        <is>
          <t>FIXTURE</t>
        </is>
      </c>
      <c r="G66" s="15" t="inlineStr">
        <is>
          <t>Goong Directions lỗi sau retry</t>
        </is>
      </c>
      <c r="H66" s="15" t="inlineStr">
        <is>
          <t>Routing provider timeout/5xx hoặc thiếu REST key.</t>
        </is>
      </c>
      <c r="I66" s="15" t="inlineStr">
        <is>
          <t>Mock Goong fail after configured retries.</t>
        </is>
      </c>
      <c r="J66" s="15" t="inlineStr">
        <is>
          <t>1. Tạo plan.</t>
        </is>
      </c>
      <c r="K66" s="15" t="inlineStr">
        <is>
          <t>HTTP 503 ROUTING_UNAVAILABLE; không gắn nhãn INFEASIBLE và không fallback fixture ở dev/prod.</t>
        </is>
      </c>
      <c r="L66" s="15" t="inlineStr">
        <is>
          <t>Exact error code/status; no PlanProposal.</t>
        </is>
      </c>
      <c r="M66" s="15" t="str"/>
      <c r="N66" s="15" t="inlineStr">
        <is>
          <t>test_routing_failure_returns_provider_error</t>
        </is>
      </c>
      <c r="O66" s="15" t="inlineStr">
        <is>
          <t>tests/test_api/test_planning.py</t>
        </is>
      </c>
      <c r="P66" s="15" t="inlineStr">
        <is>
          <t>API integration</t>
        </is>
      </c>
      <c r="Q66" s="15" t="inlineStr">
        <is>
          <t>PASS</t>
        </is>
      </c>
      <c r="R66" s="15" t="inlineStr">
        <is>
          <t>Chưa có automated test ánh xạ trực tiếp cho toàn bộ oracle của case này.</t>
        </is>
      </c>
      <c r="S66" s="26" t="n">
        <v>46249</v>
      </c>
    </row>
    <row r="67">
      <c r="A67" s="15" t="n">
        <v>66</v>
      </c>
      <c r="B67" s="15" t="inlineStr">
        <is>
          <t>F1-TC-066</t>
        </is>
      </c>
      <c r="C67" s="15" t="inlineStr">
        <is>
          <t>F1-US4</t>
        </is>
      </c>
      <c r="D67" s="15" t="inlineStr">
        <is>
          <t>Provider Failure</t>
        </is>
      </c>
      <c r="E67" s="18" t="inlineStr">
        <is>
          <t>P0</t>
        </is>
      </c>
      <c r="F67" s="24" t="inlineStr">
        <is>
          <t>FIXTURE</t>
        </is>
      </c>
      <c r="G67" s="15" t="inlineStr">
        <is>
          <t>VinFast Locator dataset/detail không truy cập được</t>
        </is>
      </c>
      <c r="H67" s="15" t="inlineStr">
        <is>
          <t>Station provider timeout hoặc payload không dùng được.</t>
        </is>
      </c>
      <c r="I67" s="15" t="inlineStr">
        <is>
          <t>Mock VinFast provider fail.</t>
        </is>
      </c>
      <c r="J67" s="15" t="inlineStr">
        <is>
          <t>1. Tạo plan.</t>
        </is>
      </c>
      <c r="K67" s="15" t="inlineStr">
        <is>
          <t>HTTP 503 STATION_DATA_UNAVAILABLE; không tạo station giả và không biến thành business INFEASIBLE.</t>
        </is>
      </c>
      <c r="L67" s="15" t="inlineStr">
        <is>
          <t>Exact error code/status.</t>
        </is>
      </c>
      <c r="M67" s="15" t="str"/>
      <c r="N67" s="15" t="n"/>
      <c r="O67" s="15" t="n"/>
      <c r="P67" s="15" t="n"/>
      <c r="Q67" s="15" t="inlineStr">
        <is>
          <t>NOT_AUTOMATED</t>
        </is>
      </c>
      <c r="R67" s="15" t="inlineStr">
        <is>
          <t>Chưa có automated test ánh xạ trực tiếp cho toàn bộ oracle của case này.</t>
        </is>
      </c>
      <c r="S67" s="26" t="n">
        <v>46249</v>
      </c>
    </row>
    <row r="68">
      <c r="A68" s="15" t="n">
        <v>67</v>
      </c>
      <c r="B68" s="15" t="inlineStr">
        <is>
          <t>F1-TC-067</t>
        </is>
      </c>
      <c r="C68" s="15" t="inlineStr">
        <is>
          <t>F1-US4</t>
        </is>
      </c>
      <c r="D68" s="15" t="inlineStr">
        <is>
          <t>Provider Failure</t>
        </is>
      </c>
      <c r="E68" s="18" t="inlineStr">
        <is>
          <t>P0</t>
        </is>
      </c>
      <c r="F68" s="24" t="inlineStr">
        <is>
          <t>FIXTURE</t>
        </is>
      </c>
      <c r="G68" s="15" t="inlineStr">
        <is>
          <t>Open-Meteo weather/elevation lỗi</t>
        </is>
      </c>
      <c r="H68" s="15" t="inlineStr">
        <is>
          <t>Environment provider unavailable.</t>
        </is>
      </c>
      <c r="I68" s="15" t="inlineStr">
        <is>
          <t>Mock Open-Meteo fail.</t>
        </is>
      </c>
      <c r="J68" s="15" t="inlineStr">
        <is>
          <t>1. Tạo plan.</t>
        </is>
      </c>
      <c r="K68" s="15" t="inlineStr">
        <is>
          <t>HTTP 503 ENVIRONMENT_DATA_UNAVAILABLE theo implementation hiện hành; không im lặng dùng số giả nếu runtime yêu cầu dữ liệu thật.</t>
        </is>
      </c>
      <c r="L68" s="15" t="inlineStr">
        <is>
          <t>Exact error code/status.</t>
        </is>
      </c>
      <c r="M68" s="15" t="str"/>
      <c r="N68" s="15" t="n"/>
      <c r="O68" s="15" t="n"/>
      <c r="P68" s="15" t="n"/>
      <c r="Q68" s="15" t="inlineStr">
        <is>
          <t>NOT_AUTOMATED</t>
        </is>
      </c>
      <c r="R68" s="15" t="inlineStr">
        <is>
          <t>Chưa có automated test ánh xạ trực tiếp cho toàn bộ oracle của case này.</t>
        </is>
      </c>
      <c r="S68" s="26" t="n">
        <v>46249</v>
      </c>
    </row>
    <row r="69">
      <c r="A69" s="15" t="n">
        <v>68</v>
      </c>
      <c r="B69" s="15" t="inlineStr">
        <is>
          <t>F1-TC-068</t>
        </is>
      </c>
      <c r="C69" s="15" t="inlineStr">
        <is>
          <t>F1-US4</t>
        </is>
      </c>
      <c r="D69" s="15" t="inlineStr">
        <is>
          <t>Fail Closed</t>
        </is>
      </c>
      <c r="E69" s="18" t="inlineStr">
        <is>
          <t>P0</t>
        </is>
      </c>
      <c r="F69" s="24" t="inlineStr">
        <is>
          <t>FIXTURE</t>
        </is>
      </c>
      <c r="G69" s="15" t="inlineStr">
        <is>
          <t>Provider trả dữ liệu safety-critical malformed</t>
        </is>
      </c>
      <c r="H69" s="15" t="inlineStr">
        <is>
          <t>Route thiếu geometry hoặc station detail thiếu connector/power.</t>
        </is>
      </c>
      <c r="I69" s="15" t="inlineStr">
        <is>
          <t>Mock malformed response.</t>
        </is>
      </c>
      <c r="J69" s="15" t="inlineStr">
        <is>
          <t>1. Tạo plan.</t>
        </is>
      </c>
      <c r="K69" s="15" t="inlineStr">
        <is>
          <t>Fail closed với provider/tool failure phù hợp; không lưu plan thiếu dữ liệu safety-critical.</t>
        </is>
      </c>
      <c r="L69" s="15" t="inlineStr">
        <is>
          <t>No PlanVersion feasible created.</t>
        </is>
      </c>
      <c r="M69" s="15" t="str"/>
      <c r="N69" s="15" t="n"/>
      <c r="O69" s="15" t="n"/>
      <c r="P69" s="15" t="n"/>
      <c r="Q69" s="15" t="inlineStr">
        <is>
          <t>NOT_AUTOMATED</t>
        </is>
      </c>
      <c r="R69" s="15" t="inlineStr">
        <is>
          <t>Chưa có automated test ánh xạ trực tiếp cho toàn bộ oracle của case này.</t>
        </is>
      </c>
      <c r="S69" s="26" t="n">
        <v>46249</v>
      </c>
    </row>
    <row r="70">
      <c r="A70" s="15" t="n">
        <v>69</v>
      </c>
      <c r="B70" s="15" t="inlineStr">
        <is>
          <t>F1-TC-069</t>
        </is>
      </c>
      <c r="C70" s="15" t="inlineStr">
        <is>
          <t>F1-US4</t>
        </is>
      </c>
      <c r="D70" s="15" t="inlineStr">
        <is>
          <t>Fail Closed</t>
        </is>
      </c>
      <c r="E70" s="18" t="inlineStr">
        <is>
          <t>P0</t>
        </is>
      </c>
      <c r="F70" s="24" t="inlineStr">
        <is>
          <t>FIXTURE</t>
        </is>
      </c>
      <c r="G70" s="15" t="inlineStr">
        <is>
          <t>Không bịa route/trạm khi infeasible</t>
        </is>
      </c>
      <c r="H70" s="15" t="inlineStr">
        <is>
          <t>Không có candidate hợp lệ nhưng LLM/explanation được bật.</t>
        </is>
      </c>
      <c r="I70" s="15" t="inlineStr">
        <is>
          <t>Fixture no feasible plan; AI enabled.</t>
        </is>
      </c>
      <c r="J70" s="15" t="inlineStr">
        <is>
          <t>1. Tạo plan.
2. Kiểm tra output và logs.</t>
        </is>
      </c>
      <c r="K70" s="15" t="inlineStr">
        <is>
          <t>Không xuất hiện station_id/route nào ngoài tool results; AI không đổi verdict.</t>
        </is>
      </c>
      <c r="L70" s="15" t="inlineStr">
        <is>
          <t>Hallucinated station/route facts = 0.</t>
        </is>
      </c>
      <c r="M70" s="15" t="str"/>
      <c r="N70" s="15" t="inlineStr">
        <is>
          <t>test_infeasible_graph_returns_refusal_without_plan_proposal</t>
        </is>
      </c>
      <c r="O70" s="15" t="inlineStr">
        <is>
          <t>tests/test_agents/test_graph.py</t>
        </is>
      </c>
      <c r="P70" s="15" t="inlineStr">
        <is>
          <t>Component</t>
        </is>
      </c>
      <c r="Q70" s="15" t="inlineStr">
        <is>
          <t>PASS</t>
        </is>
      </c>
      <c r="R70" s="15" t="inlineStr">
        <is>
          <t>Chưa có automated test ánh xạ trực tiếp cho toàn bộ oracle của case này.</t>
        </is>
      </c>
      <c r="S70" s="26" t="n">
        <v>46249</v>
      </c>
    </row>
    <row r="71">
      <c r="A71" s="15" t="n">
        <v>70</v>
      </c>
      <c r="B71" s="15" t="inlineStr">
        <is>
          <t>F1-TC-070</t>
        </is>
      </c>
      <c r="C71" s="15" t="inlineStr">
        <is>
          <t>F1-US4</t>
        </is>
      </c>
      <c r="D71" s="15" t="inlineStr">
        <is>
          <t>UI Safety</t>
        </is>
      </c>
      <c r="E71" s="18" t="inlineStr">
        <is>
          <t>P0</t>
        </is>
      </c>
      <c r="F71" s="24" t="inlineStr">
        <is>
          <t>FIXTURE</t>
        </is>
      </c>
      <c r="G71" s="15" t="inlineStr">
        <is>
          <t>INFEASIBLE không hiển thị nhầm 'không cần sạc'</t>
        </is>
      </c>
      <c r="H71" s="15" t="inlineStr">
        <is>
          <t>Backend trả NoFeasiblePlan.</t>
        </is>
      </c>
      <c r="I71" s="15" t="inlineStr">
        <is>
          <t>Fixture infeasible.</t>
        </is>
      </c>
      <c r="J71" s="15" t="inlineStr">
        <is>
          <t>1. Render UI.</t>
        </is>
      </c>
      <c r="K71" s="15" t="inlineStr">
        <is>
          <t>Hiển thị warning rõ, lý do và gợi ý; tuyệt đối không hiện thông điệp giống plan direct/no-charge khả thi.</t>
        </is>
      </c>
      <c r="L71" s="15" t="inlineStr">
        <is>
          <t>UI snapshot assertion.</t>
        </is>
      </c>
      <c r="M71" s="15" t="str"/>
      <c r="N71" s="15" t="n"/>
      <c r="O71" s="15" t="n"/>
      <c r="P71" s="15" t="n"/>
      <c r="Q71" s="15" t="inlineStr">
        <is>
          <t>NOT_AUTOMATED</t>
        </is>
      </c>
      <c r="R71" s="15" t="inlineStr">
        <is>
          <t>Chưa có automated test ánh xạ trực tiếp cho toàn bộ oracle của case này.</t>
        </is>
      </c>
      <c r="S71" s="26" t="n">
        <v>46249</v>
      </c>
    </row>
    <row r="72">
      <c r="A72" s="15" t="n">
        <v>71</v>
      </c>
      <c r="B72" s="15" t="inlineStr">
        <is>
          <t>F1-TC-071</t>
        </is>
      </c>
      <c r="C72" s="15" t="inlineStr">
        <is>
          <t>F1-US3/F1-US4</t>
        </is>
      </c>
      <c r="D72" s="15" t="inlineStr">
        <is>
          <t>AI Boundary</t>
        </is>
      </c>
      <c r="E72" s="22" t="inlineStr">
        <is>
          <t>P1</t>
        </is>
      </c>
      <c r="F72" s="24" t="inlineStr">
        <is>
          <t>FIXTURE</t>
        </is>
      </c>
      <c r="G72" s="15" t="inlineStr">
        <is>
          <t>Tắt OpenAI explanation</t>
        </is>
      </c>
      <c r="H72" s="15" t="inlineStr">
        <is>
          <t>AI_PLAN_EXPLANATION_ENABLED=false.</t>
        </is>
      </c>
      <c r="I72" s="15" t="inlineStr">
        <is>
          <t>Cùng route/station/energy fixture.</t>
        </is>
      </c>
      <c r="J72" s="15" t="inlineStr">
        <is>
          <t>1. Tạo plan với AI tắt.</t>
        </is>
      </c>
      <c r="K72" s="15" t="inlineStr">
        <is>
          <t>Feasibility, station sequence, SOC và plan options vẫn được tạo deterministic; chỉ explanation/ranking AI tùy chọn thay đổi.</t>
        </is>
      </c>
      <c r="L72" s="15" t="inlineStr">
        <is>
          <t>Core plan fields equal deterministic baseline.</t>
        </is>
      </c>
      <c r="M72" s="15" t="str"/>
      <c r="N72" s="15" t="n"/>
      <c r="O72" s="15" t="n"/>
      <c r="P72" s="15" t="n"/>
      <c r="Q72" s="15" t="inlineStr">
        <is>
          <t>NOT_AUTOMATED</t>
        </is>
      </c>
      <c r="R72" s="15" t="inlineStr">
        <is>
          <t>Chưa có automated test ánh xạ trực tiếp cho toàn bộ oracle của case này.</t>
        </is>
      </c>
      <c r="S72" s="26" t="n">
        <v>46249</v>
      </c>
    </row>
    <row r="73">
      <c r="A73" s="15" t="n">
        <v>72</v>
      </c>
      <c r="B73" s="15" t="inlineStr">
        <is>
          <t>F1-TC-072</t>
        </is>
      </c>
      <c r="C73" s="15" t="inlineStr">
        <is>
          <t>F1-US3/F1-US4</t>
        </is>
      </c>
      <c r="D73" s="15" t="inlineStr">
        <is>
          <t>AI Boundary</t>
        </is>
      </c>
      <c r="E73" s="22" t="inlineStr">
        <is>
          <t>P1</t>
        </is>
      </c>
      <c r="F73" s="24" t="inlineStr">
        <is>
          <t>FIXTURE</t>
        </is>
      </c>
      <c r="G73" s="15" t="inlineStr">
        <is>
          <t>OpenAI timeout/lỗi</t>
        </is>
      </c>
      <c r="H73" s="15" t="inlineStr">
        <is>
          <t>AI enabled nhưng provider timeout.</t>
        </is>
      </c>
      <c r="I73" s="15" t="inlineStr">
        <is>
          <t>Mock LLM failure.</t>
        </is>
      </c>
      <c r="J73" s="15" t="inlineStr">
        <is>
          <t>1. Tạo plan.</t>
        </is>
      </c>
      <c r="K73" s="15" t="inlineStr">
        <is>
          <t>Core plan không bị đổi thành lỗi an toàn; deterministic ranking/giải thích fallback được giữ theo implementation.</t>
        </is>
      </c>
      <c r="L73" s="15" t="inlineStr">
        <is>
          <t>Core verdict/options unchanged.</t>
        </is>
      </c>
      <c r="M73" s="15" t="str"/>
      <c r="N73" s="15" t="n"/>
      <c r="O73" s="15" t="n"/>
      <c r="P73" s="15" t="n"/>
      <c r="Q73" s="15" t="inlineStr">
        <is>
          <t>NOT_AUTOMATED</t>
        </is>
      </c>
      <c r="R73" s="15" t="inlineStr">
        <is>
          <t>Chưa có automated test ánh xạ trực tiếp cho toàn bộ oracle của case này.</t>
        </is>
      </c>
      <c r="S73" s="26" t="n">
        <v>46249</v>
      </c>
    </row>
    <row r="74">
      <c r="A74" s="15" t="n">
        <v>73</v>
      </c>
      <c r="B74" s="15" t="inlineStr">
        <is>
          <t>F1-TC-073</t>
        </is>
      </c>
      <c r="C74" s="15" t="inlineStr">
        <is>
          <t>F1-US3/F1-US4</t>
        </is>
      </c>
      <c r="D74" s="15" t="inlineStr">
        <is>
          <t>AI Boundary</t>
        </is>
      </c>
      <c r="E74" s="18" t="inlineStr">
        <is>
          <t>P0</t>
        </is>
      </c>
      <c r="F74" s="24" t="inlineStr">
        <is>
          <t>FIXTURE</t>
        </is>
      </c>
      <c r="G74" s="15" t="inlineStr">
        <is>
          <t>LLM trả plan_id ngoài tập feasible</t>
        </is>
      </c>
      <c r="H74" s="15" t="inlineStr">
        <is>
          <t>LLM cố chọn một ID không có trong allowed plan set.</t>
        </is>
      </c>
      <c r="I74" s="15" t="inlineStr">
        <is>
          <t>Mock LLM returns invalid plan_id.</t>
        </is>
      </c>
      <c r="J74" s="15" t="inlineStr">
        <is>
          <t>1. Tạo plan với ≥2 feasible options.</t>
        </is>
      </c>
      <c r="K74" s="15" t="inlineStr">
        <is>
          <t>Output LLM bị bỏ qua; deterministic ranking được dùng; không thêm plan ngoài feasible set.</t>
        </is>
      </c>
      <c r="L74" s="15" t="inlineStr">
        <is>
          <t>Selected plan_id ∈ feasible_ids; invalid output ignored.</t>
        </is>
      </c>
      <c r="M74" s="15" t="str"/>
      <c r="N74" s="15" t="n"/>
      <c r="O74" s="15" t="n"/>
      <c r="P74" s="15" t="n"/>
      <c r="Q74" s="15" t="inlineStr">
        <is>
          <t>NOT_AUTOMATED</t>
        </is>
      </c>
      <c r="R74" s="15" t="inlineStr">
        <is>
          <t>Chưa có automated test ánh xạ trực tiếp cho toàn bộ oracle của case này.</t>
        </is>
      </c>
      <c r="S74" s="26" t="n">
        <v>46249</v>
      </c>
    </row>
    <row r="75">
      <c r="A75" s="15" t="n">
        <v>74</v>
      </c>
      <c r="B75" s="15" t="inlineStr">
        <is>
          <t>F1-TC-074</t>
        </is>
      </c>
      <c r="C75" s="15" t="inlineStr">
        <is>
          <t>F1-US3/F1-US4</t>
        </is>
      </c>
      <c r="D75" s="15" t="inlineStr">
        <is>
          <t>Reproducibility</t>
        </is>
      </c>
      <c r="E75" s="18" t="inlineStr">
        <is>
          <t>P0</t>
        </is>
      </c>
      <c r="F75" s="24" t="inlineStr">
        <is>
          <t>FIXTURE</t>
        </is>
      </c>
      <c r="G75" s="15" t="inlineStr">
        <is>
          <t>Cùng fixture chạy nhiều lần cho cùng kết quả</t>
        </is>
      </c>
      <c r="H75" s="15" t="inlineStr">
        <is>
          <t>Benchmark phải tái lập được.</t>
        </is>
      </c>
      <c r="I75" s="15" t="inlineStr">
        <is>
          <t>APP_ENV=test; fixed route/station/environment/vehicle/policy.</t>
        </is>
      </c>
      <c r="J75" s="15" t="inlineStr">
        <is>
          <t>1. Chạy cùng fixture 10 lần.
2. Loại plan_id, UUID, created_at, retrieved_at và timestamps động.
3. So station sequence, route/leg distances, SOC points, consumption và verdict.</t>
        </is>
      </c>
      <c r="K75" s="15" t="inlineStr">
        <is>
          <t>Kết quả nghiệp vụ sau khi normalize giống nhau trong tolerance đã chốt.</t>
        </is>
      </c>
      <c r="L75" s="15" t="inlineStr">
        <is>
          <t>Exact normalized fixture oracle; không so UUID/timestamp động; không gọi live API.</t>
        </is>
      </c>
      <c r="M75" s="15" t="str"/>
      <c r="N75" s="15" t="inlineStr">
        <is>
          <t>test_energy_fixture_is_reproducible_after_excluding_dynamic_identifiers</t>
        </is>
      </c>
      <c r="O75" s="15" t="inlineStr">
        <is>
          <t>tests/test_core/test_energy_planning.py</t>
        </is>
      </c>
      <c r="P75" s="15" t="inlineStr">
        <is>
          <t>Unit</t>
        </is>
      </c>
      <c r="Q75" s="15" t="inlineStr">
        <is>
          <t>PASS</t>
        </is>
      </c>
      <c r="R75" s="15" t="inlineStr">
        <is>
          <t>Chưa có automated test ánh xạ trực tiếp cho toàn bộ oracle của case này.</t>
        </is>
      </c>
      <c r="S75" s="26" t="n">
        <v>46249</v>
      </c>
    </row>
    <row r="76">
      <c r="A76" s="15" t="n">
        <v>75</v>
      </c>
      <c r="B76" s="15" t="inlineStr">
        <is>
          <t>F1-TC-075</t>
        </is>
      </c>
      <c r="C76" s="15" t="inlineStr">
        <is>
          <t>F1-US3/F1-US4</t>
        </is>
      </c>
      <c r="D76" s="15" t="inlineStr">
        <is>
          <t>Runtime Separation</t>
        </is>
      </c>
      <c r="E76" s="18" t="inlineStr">
        <is>
          <t>P0</t>
        </is>
      </c>
      <c r="F76" s="24" t="inlineStr">
        <is>
          <t>FIXTURE</t>
        </is>
      </c>
      <c r="G76" s="15" t="inlineStr">
        <is>
          <t>Development/Production không tự fallback sang fixture</t>
        </is>
      </c>
      <c r="H76" s="15" t="inlineStr">
        <is>
          <t>Provider thật bị lỗi ở runtime.</t>
        </is>
      </c>
      <c r="I76" s="15" t="inlineStr">
        <is>
          <t>APP_ENV=development/production; mock real provider fail.</t>
        </is>
      </c>
      <c r="J76" s="15" t="inlineStr">
        <is>
          <t>1. Tạo plan.</t>
        </is>
      </c>
      <c r="K76" s="15" t="inlineStr">
        <is>
          <t>Trả provider 503; không âm thầm dùng route/station/environment fixture.</t>
        </is>
      </c>
      <c r="L76" s="15" t="inlineStr">
        <is>
          <t>Assert fixture adapter not called.</t>
        </is>
      </c>
      <c r="M76" s="15" t="str"/>
      <c r="N76" s="15" t="n"/>
      <c r="O76" s="15" t="n"/>
      <c r="P76" s="15" t="n"/>
      <c r="Q76" s="15" t="inlineStr">
        <is>
          <t>NOT_AUTOMATED</t>
        </is>
      </c>
      <c r="R76" s="15" t="inlineStr">
        <is>
          <t>Chưa có automated test ánh xạ trực tiếp cho toàn bộ oracle của case này.</t>
        </is>
      </c>
      <c r="S76" s="26" t="n">
        <v>46249</v>
      </c>
    </row>
    <row r="77">
      <c r="A77" s="15" t="n">
        <v>76</v>
      </c>
      <c r="B77" s="15" t="inlineStr">
        <is>
          <t>F1-TC-076</t>
        </is>
      </c>
      <c r="C77" s="15" t="inlineStr">
        <is>
          <t>F1-US3/F1-US4</t>
        </is>
      </c>
      <c r="D77" s="15" t="inlineStr">
        <is>
          <t>Runtime Separation</t>
        </is>
      </c>
      <c r="E77" s="22" t="inlineStr">
        <is>
          <t>P1</t>
        </is>
      </c>
      <c r="F77" s="20" t="inlineStr">
        <is>
          <t>LIVE</t>
        </is>
      </c>
      <c r="G77" s="15" t="inlineStr">
        <is>
          <t>Hai lần chạy live có thể khác dữ liệu nhưng phải giữ invariant</t>
        </is>
      </c>
      <c r="H77" s="15" t="inlineStr">
        <is>
          <t>VinFast generation, weather hoặc route thay đổi giữa hai lần chạy.</t>
        </is>
      </c>
      <c r="I77" s="15" t="inlineStr">
        <is>
          <t>Cùng input chạy ở hai thời điểm.</t>
        </is>
      </c>
      <c r="J77" s="15" t="inlineStr">
        <is>
          <t>1. Lập plan lần 1.
2. Lập plan lần 2 sau một khoảng thời gian.</t>
        </is>
      </c>
      <c r="K77" s="15" t="inlineStr">
        <is>
          <t>Cho phép station/weather/duration khác; nhưng mọi plan được trả phải đúng CCS2, SOC arrival ≥15%, provenance/timestamps chính xác và không bịa availability.</t>
        </is>
      </c>
      <c r="L77" s="15" t="inlineStr">
        <is>
          <t>LIVE oracle = invariants, không so exact values.</t>
        </is>
      </c>
      <c r="M77" s="15" t="str"/>
      <c r="N77" s="15" t="n"/>
      <c r="O77" s="15" t="n"/>
      <c r="P77" s="15" t="n"/>
      <c r="Q77" s="15" t="inlineStr">
        <is>
          <t>NOT_AUTOMATED</t>
        </is>
      </c>
      <c r="R77" s="15" t="inlineStr">
        <is>
          <t>Chưa có automated test ánh xạ trực tiếp cho toàn bộ oracle của case này.</t>
        </is>
      </c>
      <c r="S77" s="26" t="n">
        <v>46249</v>
      </c>
    </row>
    <row r="78">
      <c r="A78" s="15" t="n">
        <v>77</v>
      </c>
      <c r="B78" s="15" t="inlineStr">
        <is>
          <t>F1-TC-077</t>
        </is>
      </c>
      <c r="C78" s="15" t="inlineStr">
        <is>
          <t>F1-US1/F1-US3</t>
        </is>
      </c>
      <c r="D78" s="15" t="inlineStr">
        <is>
          <t>Security</t>
        </is>
      </c>
      <c r="E78" s="18" t="inlineStr">
        <is>
          <t>P0</t>
        </is>
      </c>
      <c r="F78" s="20" t="inlineStr">
        <is>
          <t>LIVE</t>
        </is>
      </c>
      <c r="G78" s="15" t="inlineStr">
        <is>
          <t>Goong REST API key không lộ ở browser</t>
        </is>
      </c>
      <c r="H78" s="15" t="inlineStr">
        <is>
          <t>Mentor mở DevTools Network/Source.</t>
        </is>
      </c>
      <c r="I78" s="15" t="inlineStr">
        <is>
          <t>Production build.</t>
        </is>
      </c>
      <c r="J78" s="15" t="inlineStr">
        <is>
          <t>1. Mở Network và Sources.
2. Dùng Places autocomplete.
3. Tìm GOONG_API_KEY/REST key trong bundle/request client.</t>
        </is>
      </c>
      <c r="K78" s="15" t="inlineStr">
        <is>
          <t>Places REST key không xuất hiện trong browser; browser gọi backend proxy cho autocomplete/detail.</t>
        </is>
      </c>
      <c r="L78" s="15" t="inlineStr">
        <is>
          <t>Security inspection: no server REST key in frontend bundle/network.</t>
        </is>
      </c>
      <c r="M78" s="15" t="str"/>
      <c r="N78" s="15" t="n"/>
      <c r="O78" s="15" t="n"/>
      <c r="P78" s="15" t="n"/>
      <c r="Q78" s="15" t="inlineStr">
        <is>
          <t>NOT_AUTOMATED</t>
        </is>
      </c>
      <c r="R78" s="15" t="inlineStr">
        <is>
          <t>Chưa có automated test ánh xạ trực tiếp cho toàn bộ oracle của case này.</t>
        </is>
      </c>
      <c r="S78" s="26" t="n">
        <v>46249</v>
      </c>
    </row>
    <row r="79">
      <c r="A79" s="15" t="n">
        <v>78</v>
      </c>
      <c r="B79" s="15" t="inlineStr">
        <is>
          <t>F1-TC-078</t>
        </is>
      </c>
      <c r="C79" s="15" t="inlineStr">
        <is>
          <t>F1-US3</t>
        </is>
      </c>
      <c r="D79" s="15" t="inlineStr">
        <is>
          <t>Security</t>
        </is>
      </c>
      <c r="E79" s="22" t="inlineStr">
        <is>
          <t>P1</t>
        </is>
      </c>
      <c r="F79" s="20" t="inlineStr">
        <is>
          <t>LIVE</t>
        </is>
      </c>
      <c r="G79" s="15" t="inlineStr">
        <is>
          <t>Maptiles key công khai không bị nhầm với REST key</t>
        </is>
      </c>
      <c r="H79" s="15" t="inlineStr">
        <is>
          <t>Goong JS cần public maptiles key.</t>
        </is>
      </c>
      <c r="I79" s="15" t="inlineStr">
        <is>
          <t>Production build.</t>
        </is>
      </c>
      <c r="J79" s="15" t="inlineStr">
        <is>
          <t>1. Kiểm tra frontend env/bundle.
2. So key sử dụng cho map với backend REST key.</t>
        </is>
      </c>
      <c r="K79" s="15" t="inlineStr">
        <is>
          <t>Chỉ key được phép công khai xuất hiện ở frontend; server REST key vẫn ở backend.</t>
        </is>
      </c>
      <c r="L79" s="15" t="inlineStr">
        <is>
          <t>Manual security audit.</t>
        </is>
      </c>
      <c r="M79" s="15" t="str"/>
      <c r="N79" s="15" t="n"/>
      <c r="O79" s="15" t="n"/>
      <c r="P79" s="15" t="n"/>
      <c r="Q79" s="15" t="inlineStr">
        <is>
          <t>NOT_AUTOMATED</t>
        </is>
      </c>
      <c r="R79" s="15" t="inlineStr">
        <is>
          <t>Chưa có automated test ánh xạ trực tiếp cho toàn bộ oracle của case này.</t>
        </is>
      </c>
      <c r="S79" s="26" t="n">
        <v>46249</v>
      </c>
    </row>
    <row r="80">
      <c r="A80" s="15" t="n">
        <v>79</v>
      </c>
      <c r="B80" s="15" t="inlineStr">
        <is>
          <t>F1-TC-079</t>
        </is>
      </c>
      <c r="C80" s="15" t="inlineStr">
        <is>
          <t>F1-US1/F1-US3</t>
        </is>
      </c>
      <c r="D80" s="15" t="inlineStr">
        <is>
          <t>UI Robustness</t>
        </is>
      </c>
      <c r="E80" s="22" t="inlineStr">
        <is>
          <t>P1</t>
        </is>
      </c>
      <c r="F80" s="24" t="inlineStr">
        <is>
          <t>FIXTURE</t>
        </is>
      </c>
      <c r="G80" s="15" t="inlineStr">
        <is>
          <t>Tên địa điểm/trạm chứa ký tự đặc biệt</t>
        </is>
      </c>
      <c r="H80" s="15" t="inlineStr">
        <is>
          <t>Provider trả label có dấu tiếng Việt, &amp;, ', &lt;, &gt; hoặc Unicode.</t>
        </is>
      </c>
      <c r="I80" s="15" t="inlineStr">
        <is>
          <t>Fixture labels chứa special chars.</t>
        </is>
      </c>
      <c r="J80" s="15" t="inlineStr">
        <is>
          <t>1. Render autocomplete/station popup.</t>
        </is>
      </c>
      <c r="K80" s="15" t="inlineStr">
        <is>
          <t>Text hiển thị đúng UTF-8 và được escape; không thực thi HTML/script.</t>
        </is>
      </c>
      <c r="L80" s="15" t="inlineStr">
        <is>
          <t>UI snapshot/XSS assertion.</t>
        </is>
      </c>
      <c r="M80" s="15" t="str"/>
      <c r="N80" s="15" t="n"/>
      <c r="O80" s="15" t="n"/>
      <c r="P80" s="15" t="n"/>
      <c r="Q80" s="15" t="inlineStr">
        <is>
          <t>NOT_AUTOMATED</t>
        </is>
      </c>
      <c r="R80" s="15" t="inlineStr">
        <is>
          <t>Chưa có automated test ánh xạ trực tiếp cho toàn bộ oracle của case này.</t>
        </is>
      </c>
      <c r="S80" s="26" t="n">
        <v>46249</v>
      </c>
    </row>
    <row r="81">
      <c r="A81" s="15" t="n">
        <v>80</v>
      </c>
      <c r="B81" s="15" t="inlineStr">
        <is>
          <t>F1-TC-080</t>
        </is>
      </c>
      <c r="C81" s="15" t="inlineStr">
        <is>
          <t>F1-US3</t>
        </is>
      </c>
      <c r="D81" s="15" t="inlineStr">
        <is>
          <t>UI</t>
        </is>
      </c>
      <c r="E81" s="22" t="inlineStr">
        <is>
          <t>P1</t>
        </is>
      </c>
      <c r="F81" s="20" t="inlineStr">
        <is>
          <t>LIVE</t>
        </is>
      </c>
      <c r="G81" s="15" t="inlineStr">
        <is>
          <t>Giao diện tiếng Việt và dữ liệu đủ cho mentor đọc</t>
        </is>
      </c>
      <c r="H81" s="15" t="inlineStr">
        <is>
          <t>Mentor test trực tiếp production.</t>
        </is>
      </c>
      <c r="I81" s="15" t="inlineStr">
        <is>
          <t>Plan thành công.</t>
        </is>
      </c>
      <c r="J81" s="15" t="inlineStr">
        <is>
          <t>1. Lập plan.
2. Mở station popup, SOC chart, risk panel, source panel.</t>
        </is>
      </c>
      <c r="K81" s="15" t="inlineStr">
        <is>
          <t>Không còn chuỗi tiếng Anh kỹ thuật thô ở luồng chính; thông tin route/trạm/SOC/risk/provenance dễ hiểu.</t>
        </is>
      </c>
      <c r="L81" s="15" t="inlineStr">
        <is>
          <t>Manual UX checklist.</t>
        </is>
      </c>
      <c r="M81" s="15" t="str"/>
      <c r="N81" s="15" t="n"/>
      <c r="O81" s="15" t="n"/>
      <c r="P81" s="15" t="n"/>
      <c r="Q81" s="15" t="inlineStr">
        <is>
          <t>NOT_AUTOMATED</t>
        </is>
      </c>
      <c r="R81" s="15" t="inlineStr">
        <is>
          <t>Chưa có automated test ánh xạ trực tiếp cho toàn bộ oracle của case này.</t>
        </is>
      </c>
      <c r="S81" s="26" t="n">
        <v>46249</v>
      </c>
    </row>
    <row r="82">
      <c r="A82" s="15" t="n">
        <v>81</v>
      </c>
      <c r="B82" s="15" t="inlineStr">
        <is>
          <t>F1-TC-081</t>
        </is>
      </c>
      <c r="C82" s="15" t="inlineStr">
        <is>
          <t>F1-US3</t>
        </is>
      </c>
      <c r="D82" s="15" t="inlineStr">
        <is>
          <t>UI</t>
        </is>
      </c>
      <c r="E82" s="22" t="inlineStr">
        <is>
          <t>P1</t>
        </is>
      </c>
      <c r="F82" s="24" t="inlineStr">
        <is>
          <t>FIXTURE</t>
        </is>
      </c>
      <c r="G82" s="15" t="inlineStr">
        <is>
          <t>Chuyển giữa nhiều phương án không để sót dữ liệu option cũ</t>
        </is>
      </c>
      <c r="H82" s="15" t="inlineStr">
        <is>
          <t>API trả 3 plan option với route/station khác nhau.</t>
        </is>
      </c>
      <c r="I82" s="15" t="inlineStr">
        <is>
          <t>Fixture 3 options.</t>
        </is>
      </c>
      <c r="J82" s="15" t="inlineStr">
        <is>
          <t>1. Chọn option A.
2. Chuyển B.
3. Chuyển C.
4. So map, chart, station card.</t>
        </is>
      </c>
      <c r="K82" s="15" t="inlineStr">
        <is>
          <t>Mọi thành phần đồng bộ theo option đang chọn; không mix route của A với station/SOC của B.</t>
        </is>
      </c>
      <c r="L82" s="15" t="inlineStr">
        <is>
          <t>Exact per-option fixture comparison.</t>
        </is>
      </c>
      <c r="M82" s="15" t="str"/>
      <c r="N82" s="15" t="n"/>
      <c r="O82" s="15" t="n"/>
      <c r="P82" s="15" t="n"/>
      <c r="Q82" s="15" t="inlineStr">
        <is>
          <t>NOT_AUTOMATED</t>
        </is>
      </c>
      <c r="R82" s="15" t="inlineStr">
        <is>
          <t>Chưa có automated test ánh xạ trực tiếp cho toàn bộ oracle của case này.</t>
        </is>
      </c>
      <c r="S82" s="26" t="n">
        <v>46249</v>
      </c>
    </row>
    <row r="83">
      <c r="A83" s="15" t="n">
        <v>82</v>
      </c>
      <c r="B83" s="15" t="inlineStr">
        <is>
          <t>F1-TC-082</t>
        </is>
      </c>
      <c r="C83" s="15" t="inlineStr">
        <is>
          <t>F1-US3</t>
        </is>
      </c>
      <c r="D83" s="15" t="inlineStr">
        <is>
          <t>Resilience UX</t>
        </is>
      </c>
      <c r="E83" s="22" t="inlineStr">
        <is>
          <t>P1</t>
        </is>
      </c>
      <c r="F83" s="24" t="inlineStr">
        <is>
          <t>FIXTURE</t>
        </is>
      </c>
      <c r="G83" s="15" t="inlineStr">
        <is>
          <t>Provider chậm nhưng chưa timeout</t>
        </is>
      </c>
      <c r="H83" s="15" t="inlineStr">
        <is>
          <t>Routing/station/environment trả trong ngưỡng nhưng mất vài giây.</t>
        </is>
      </c>
      <c r="I83" s="15" t="inlineStr">
        <is>
          <t>Mock delays below configured timeout.</t>
        </is>
      </c>
      <c r="J83" s="15" t="inlineStr">
        <is>
          <t>1. Tạo plan.
2. Quan sát loading.</t>
        </is>
      </c>
      <c r="K83" s="15" t="inlineStr">
        <is>
          <t>UI không cho người dùng hiểu nhầm là treo; không render kết quả cũ như kết quả mới; khi hoàn tất render đúng response.</t>
        </is>
      </c>
      <c r="L83" s="15" t="inlineStr">
        <is>
          <t>UI state assertion.</t>
        </is>
      </c>
      <c r="M83" s="15" t="str"/>
      <c r="N83" s="15" t="n"/>
      <c r="O83" s="15" t="n"/>
      <c r="P83" s="15" t="n"/>
      <c r="Q83" s="15" t="inlineStr">
        <is>
          <t>NOT_AUTOMATED</t>
        </is>
      </c>
      <c r="R83" s="15" t="inlineStr">
        <is>
          <t>Chưa có automated test ánh xạ trực tiếp cho toàn bộ oracle của case này.</t>
        </is>
      </c>
      <c r="S83" s="26" t="n">
        <v>46249</v>
      </c>
    </row>
    <row r="84">
      <c r="A84" s="15" t="n">
        <v>83</v>
      </c>
      <c r="B84" s="15" t="inlineStr">
        <is>
          <t>F1-TC-083</t>
        </is>
      </c>
      <c r="C84" s="15" t="inlineStr">
        <is>
          <t>F1-US3</t>
        </is>
      </c>
      <c r="D84" s="15" t="inlineStr">
        <is>
          <t>Contract</t>
        </is>
      </c>
      <c r="E84" s="18" t="inlineStr">
        <is>
          <t>P0</t>
        </is>
      </c>
      <c r="F84" s="24" t="inlineStr">
        <is>
          <t>FIXTURE</t>
        </is>
      </c>
      <c r="G84" s="15" t="inlineStr">
        <is>
          <t>PlanProposal thiếu field bắt buộc</t>
        </is>
      </c>
      <c r="H84" s="15" t="inlineStr">
        <is>
          <t>Một internal component trả proposal thiếu risk/provenance/SOC.</t>
        </is>
      </c>
      <c r="I84" s="15" t="inlineStr">
        <is>
          <t>Mock invalid PlanProposal.</t>
        </is>
      </c>
      <c r="J84" s="15" t="inlineStr">
        <is>
          <t>1. Đưa proposal vào Trip Service/UI contract path.</t>
        </is>
      </c>
      <c r="K84" s="15" t="inlineStr">
        <is>
          <t>Proposal bị reject/normalized failure; không persist/display như plan hợp lệ.</t>
        </is>
      </c>
      <c r="L84" s="15" t="inlineStr">
        <is>
          <t>Schema validation failure; no valid PlanVersion.</t>
        </is>
      </c>
      <c r="M84" s="15" t="str"/>
      <c r="N84" s="15" t="n"/>
      <c r="O84" s="15" t="n"/>
      <c r="P84" s="15" t="n"/>
      <c r="Q84" s="15" t="inlineStr">
        <is>
          <t>NOT_AUTOMATED</t>
        </is>
      </c>
      <c r="R84" s="15" t="inlineStr">
        <is>
          <t>Chưa có automated test ánh xạ trực tiếp cho toàn bộ oracle của case này.</t>
        </is>
      </c>
      <c r="S84" s="26" t="n">
        <v>46249</v>
      </c>
    </row>
    <row r="85">
      <c r="A85" s="15" t="n">
        <v>84</v>
      </c>
      <c r="B85" s="15" t="inlineStr">
        <is>
          <t>F1-TC-084</t>
        </is>
      </c>
      <c r="C85" s="15" t="inlineStr">
        <is>
          <t>F1-US3</t>
        </is>
      </c>
      <c r="D85" s="15" t="inlineStr">
        <is>
          <t>Regression</t>
        </is>
      </c>
      <c r="E85" s="22" t="inlineStr">
        <is>
          <t>P1</t>
        </is>
      </c>
      <c r="F85" s="20" t="inlineStr">
        <is>
          <t>LIVE</t>
        </is>
      </c>
      <c r="G85" s="15" t="inlineStr">
        <is>
          <t>Route/trạm không dùng OpenStreetMap/Leaflet cũ</t>
        </is>
      </c>
      <c r="H85" s="15" t="inlineStr">
        <is>
          <t>Sau migration sang Goong, build không được quay lại stack cũ.</t>
        </is>
      </c>
      <c r="I85" s="15" t="inlineStr">
        <is>
          <t>Production build.</t>
        </is>
      </c>
      <c r="J85" s="15" t="inlineStr">
        <is>
          <t>1. Inspect bundle/network.
2. Lập plan.</t>
        </is>
      </c>
      <c r="K85" s="15" t="inlineStr">
        <is>
          <t>Không có tile.openstreetmap, Leaflet/react-leaflet; map và route chạy trên Goong stack hiện hành.</t>
        </is>
      </c>
      <c r="L85" s="15" t="inlineStr">
        <is>
          <t>Bundle/network audit.</t>
        </is>
      </c>
      <c r="M85" s="15" t="str"/>
      <c r="N85" s="15" t="n"/>
      <c r="O85" s="15" t="n"/>
      <c r="P85" s="15" t="n"/>
      <c r="Q85" s="15" t="inlineStr">
        <is>
          <t>NOT_AUTOMATED</t>
        </is>
      </c>
      <c r="R85" s="15" t="inlineStr">
        <is>
          <t>Chưa có automated test ánh xạ trực tiếp cho toàn bộ oracle của case này.</t>
        </is>
      </c>
      <c r="S85" s="26" t="n">
        <v>46249</v>
      </c>
    </row>
  </sheetData>
  <autoFilter ref="A1:S85"/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30" customWidth="1" min="3" max="3"/>
    <col width="38" customWidth="1" min="4" max="4"/>
    <col width="46" customWidth="1" min="5" max="5"/>
    <col width="46" customWidth="1" min="6" max="6"/>
    <col width="40" customWidth="1" min="7" max="7"/>
  </cols>
  <sheetData>
    <row r="1">
      <c r="A1" s="6" t="inlineStr">
        <is>
          <t>STT</t>
        </is>
      </c>
      <c r="B1" s="6" t="inlineStr">
        <is>
          <t>Test ID</t>
        </is>
      </c>
      <c r="C1" s="6" t="inlineStr">
        <is>
          <t>Trường hợp</t>
        </is>
      </c>
      <c r="D1" s="6" t="inlineStr">
        <is>
          <t>Input / Tình huống</t>
        </is>
      </c>
      <c r="E1" s="6" t="inlineStr">
        <is>
          <t>Thực hiện</t>
        </is>
      </c>
      <c r="F1" s="6" t="inlineStr">
        <is>
          <t>Expected</t>
        </is>
      </c>
      <c r="G1" s="6" t="inlineStr">
        <is>
          <t>Lưu ý oracle</t>
        </is>
      </c>
    </row>
    <row r="2">
      <c r="A2" s="12" t="n">
        <v>1</v>
      </c>
      <c r="B2" s="12" t="inlineStr">
        <is>
          <t>F1-TC-001</t>
        </is>
      </c>
      <c r="C2" s="12" t="inlineStr">
        <is>
          <t>Lập kế hoạch với địa chỉ phổ biến</t>
        </is>
      </c>
      <c r="D2" s="12" t="inlineStr">
        <is>
          <t>Origin: Hà Nội; Destination: Vinh; SOC: 60%.</t>
        </is>
      </c>
      <c r="E2" s="12" t="inlineStr">
        <is>
          <t>1. Gõ điểm đi và chọn đúng suggestion Goong.
2. Gõ điểm đến và chọn đúng suggestion.
3. Nhập SOC 60%.
4. Bấm lập kế hoạch.</t>
        </is>
      </c>
      <c r="F2" s="12" t="inlineStr">
        <is>
          <t>Trip được chấp nhận; tọa độ được resolve từ Place Detail; planner được gọi; không tự sửa địa điểm người dùng đã chọn.</t>
        </is>
      </c>
      <c r="G2" s="12" t="inlineStr">
        <is>
          <t>LIVE: kiểm tra invariants và Place ID/toạ độ được trả từ Goong tại thời điểm test; không cố định số route/trạm.</t>
        </is>
      </c>
    </row>
    <row r="3">
      <c r="A3" s="12" t="n">
        <v>2</v>
      </c>
      <c r="B3" s="12" t="inlineStr">
        <is>
          <t>F1-TC-002</t>
        </is>
      </c>
      <c r="C3" s="12" t="inlineStr">
        <is>
          <t>Dùng vị trí hiện tại làm điểm xuất phát</t>
        </is>
      </c>
      <c r="D3" s="12" t="inlineStr">
        <is>
          <t>Browser đã cấp quyền Location; destination hợp lệ; SOC 70%.</t>
        </is>
      </c>
      <c r="E3" s="12" t="inlineStr">
        <is>
          <t>1. Bấm nút lấy vị trí hiện tại.
2. Chờ GPS resolve.
3. Chọn destination.
4. Lập plan.</t>
        </is>
      </c>
      <c r="F3" s="12" t="inlineStr">
        <is>
          <t>Origin được gắn từ GPS/browser; UI hiển thị đúng vị trí; không lấy một địa điểm ngẫu nhiên từ autocomplete.</t>
        </is>
      </c>
      <c r="G3" s="12" t="inlineStr">
        <is>
          <t>LIVE: so vị trí với GPS thiết bị trong sai số chấp nhận của browser; không hard-code tọa độ.</t>
        </is>
      </c>
    </row>
    <row r="4">
      <c r="A4" s="12" t="n">
        <v>3</v>
      </c>
      <c r="B4" s="12" t="inlineStr">
        <is>
          <t>F1-TC-003</t>
        </is>
      </c>
      <c r="C4" s="12" t="inlineStr">
        <is>
          <t>Đổi chiều điểm đi và điểm đến</t>
        </is>
      </c>
      <c r="D4" s="12" t="inlineStr">
        <is>
          <t>Hai điểm đã được chọn từ suggestion; SOC 80%.</t>
        </is>
      </c>
      <c r="E4" s="12" t="inlineStr">
        <is>
          <t>1. Chọn Hà Nội làm origin, Vinh làm destination.
2. Bấm đổi chiều.
3. Lập plan.</t>
        </is>
      </c>
      <c r="F4" s="12" t="inlineStr">
        <is>
          <t>Origin/destination đổi đúng cả label và tọa độ; route được tính theo chiều mới.</t>
        </is>
      </c>
      <c r="G4" s="12" t="inlineStr">
        <is>
          <t>LIVE: kiểm tra request gửi backend chứa tọa độ sau khi đảo chiều.</t>
        </is>
      </c>
    </row>
    <row r="5">
      <c r="A5" s="12" t="n">
        <v>4</v>
      </c>
      <c r="B5" s="12" t="inlineStr">
        <is>
          <t>F1-TC-004</t>
        </is>
      </c>
      <c r="C5" s="12" t="inlineStr">
        <is>
          <t>Tìm địa điểm bằng chuỗi không dấu / sai chính tả nhẹ</t>
        </is>
      </c>
      <c r="D5" s="12" t="inlineStr">
        <is>
          <t>Goong Places hoạt động.</t>
        </is>
      </c>
      <c r="E5" s="12" t="inlineStr">
        <is>
          <t>1. Nhập chuỗi gần đúng.
2. Quan sát suggestion.
3. Chọn một kết quả cụ thể.
4. Lập plan.</t>
        </is>
      </c>
      <c r="F5" s="12" t="inlineStr">
        <is>
          <t>Hệ thống chỉ dùng địa điểm mà người dùng đã chọn; không tự đoán từ text chưa xác nhận.</t>
        </is>
      </c>
      <c r="G5" s="12" t="inlineStr">
        <is>
          <t>LIVE: suggestion phụ thuộc Goong; oracle là selected Place Detail phải khớp request planner.</t>
        </is>
      </c>
    </row>
    <row r="6">
      <c r="A6" s="12" t="n">
        <v>5</v>
      </c>
      <c r="B6" s="12" t="inlineStr">
        <is>
          <t>F1-TC-015</t>
        </is>
      </c>
      <c r="C6" s="12" t="inlineStr">
        <is>
          <t>Người dùng từ chối quyền GPS</t>
        </is>
      </c>
      <c r="D6" s="12" t="inlineStr">
        <is>
          <t>Browser permission = denied.</t>
        </is>
      </c>
      <c r="E6" s="12" t="inlineStr">
        <is>
          <t>1. Bấm lấy GPS.
2. Chọn Deny.
3. Tiếp tục nhập origin thủ công.</t>
        </is>
      </c>
      <c r="F6" s="12" t="inlineStr">
        <is>
          <t>UI báo không lấy được GPS nhưng vẫn cho nhập origin bằng Places; ứng dụng không treo.</t>
        </is>
      </c>
      <c r="G6" s="12" t="inlineStr">
        <is>
          <t>LIVE browser behavior; không ảnh hưởng Goong Places thủ công.</t>
        </is>
      </c>
    </row>
    <row r="7">
      <c r="A7" s="12" t="n">
        <v>6</v>
      </c>
      <c r="B7" s="12" t="inlineStr">
        <is>
          <t>F1-TC-018</t>
        </is>
      </c>
      <c r="C7" s="12" t="inlineStr">
        <is>
          <t>Hiển thị reserve SOC 15%</t>
        </is>
      </c>
      <c r="D7" s="12" t="inlineStr">
        <is>
          <t>Tạo một plan bất kỳ thành công.</t>
        </is>
      </c>
      <c r="E7" s="12" t="inlineStr">
        <is>
          <t>1. Lập plan.
2. Mở khu vực giả định/thông số.</t>
        </is>
      </c>
      <c r="F7" s="12" t="inlineStr">
        <is>
          <t>UI hiển thị reserve 15% rõ ràng và mô tả đây là giả định/policy pilot, không phải khuyến nghị chung cho mọi xe.</t>
        </is>
      </c>
      <c r="G7" s="12" t="inlineStr">
        <is>
          <t>Expected exact reserve = 15%.</t>
        </is>
      </c>
    </row>
    <row r="8">
      <c r="A8" s="12" t="n">
        <v>7</v>
      </c>
      <c r="B8" s="12" t="inlineStr">
        <is>
          <t>F1-TC-019</t>
        </is>
      </c>
      <c r="C8" s="12" t="inlineStr">
        <is>
          <t>Hiển thị đúng profile VinFast VF 6 Plus</t>
        </is>
      </c>
      <c r="D8" s="12" t="inlineStr">
        <is>
          <t>Vehicle profile backend hiện hành.</t>
        </is>
      </c>
      <c r="E8" s="12" t="inlineStr">
        <is>
          <t>1. Lập plan.
2. Kiểm tra thẻ thông số xe.</t>
        </is>
      </c>
      <c r="F8" s="12" t="inlineStr">
        <is>
          <t>Hiển thị VF 6 Plus, pin 59,6 kWh, CCS2, max DC 100 kW và version/profile source; không dùng số giả cũ.</t>
        </is>
      </c>
      <c r="G8" s="12" t="inlineStr">
        <is>
          <t>So với vehicle profile backend version hóa.</t>
        </is>
      </c>
    </row>
    <row r="9">
      <c r="A9" s="12" t="n">
        <v>8</v>
      </c>
      <c r="B9" s="12" t="inlineStr">
        <is>
          <t>F1-TC-020</t>
        </is>
      </c>
      <c r="C9" s="12" t="inlineStr">
        <is>
          <t>Môi trường thực tế được dùng trong phép tính</t>
        </is>
      </c>
      <c r="D9" s="12" t="inlineStr">
        <is>
          <t>Open-Meteo hoạt động.</t>
        </is>
      </c>
      <c r="E9" s="12" t="inlineStr">
        <is>
          <t>1. Lập plan.
2. Mở panel nguồn dữ liệu.
3. Kiểm tra nhiệt độ, mưa, gió, độ cao và effective consumption.</t>
        </is>
      </c>
      <c r="F9" s="12" t="inlineStr">
        <is>
          <t>Các giá trị môi trường có provenance/timestamp; effective consumption phản ánh input môi trường theo model.</t>
        </is>
      </c>
      <c r="G9" s="12" t="inlineStr">
        <is>
          <t>LIVE: không cố định con số; assert field đầy đủ, timestamp hợp lệ và effective consumption được backend trả.</t>
        </is>
      </c>
    </row>
    <row r="10">
      <c r="A10" s="12" t="n">
        <v>9</v>
      </c>
      <c r="B10" s="12" t="inlineStr">
        <is>
          <t>F1-TC-021</t>
        </is>
      </c>
      <c r="C10" s="12" t="inlineStr">
        <is>
          <t>Nguồn route được hiển thị đúng</t>
        </is>
      </c>
      <c r="D10" s="12" t="inlineStr">
        <is>
          <t>Goong Directions thành công.</t>
        </is>
      </c>
      <c r="E10" s="12" t="inlineStr">
        <is>
          <t>1. Lập plan.
2. Mở nguồn dữ liệu.</t>
        </is>
      </c>
      <c r="F10" s="12" t="inlineStr">
        <is>
          <t>Route hiển thị provider Goong, retrieved_at/source metadata; không gắn nhãn cached/simulated sai.</t>
        </is>
      </c>
      <c r="G10" s="12" t="inlineStr">
        <is>
          <t>Response route.provider/source/retrieved_at khớp UI.</t>
        </is>
      </c>
    </row>
    <row r="11">
      <c r="A11" s="12" t="n">
        <v>10</v>
      </c>
      <c r="B11" s="12" t="inlineStr">
        <is>
          <t>F1-TC-022</t>
        </is>
      </c>
      <c r="C11" s="12" t="inlineStr">
        <is>
          <t>Nguồn trạm và freshness dùng thời điểm nguồn cập nhật</t>
        </is>
      </c>
      <c r="D11" s="12" t="inlineStr">
        <is>
          <t>VinFast Locator detail có source_updated_at.</t>
        </is>
      </c>
      <c r="E11" s="12" t="inlineStr">
        <is>
          <t>1. Lập plan.
2. Mở chi tiết station.
3. So retrieved_at với station_updated_at/freshness.</t>
        </is>
      </c>
      <c r="F11" s="12" t="inlineStr">
        <is>
          <t>Freshness được tính từ source_updated_at của trạm, không lấy thời điểm backend vừa fetch để giả làm dữ liệu mới.</t>
        </is>
      </c>
      <c r="G11" s="12" t="inlineStr">
        <is>
          <t>Compare freshness against station_updated_at/source timestamp.</t>
        </is>
      </c>
    </row>
    <row r="12">
      <c r="A12" s="12" t="n">
        <v>11</v>
      </c>
      <c r="B12" s="12" t="inlineStr">
        <is>
          <t>F1-TC-023</t>
        </is>
      </c>
      <c r="C12" s="12" t="inlineStr">
        <is>
          <t>Không gọi ACTIVE/BUSY là cổng đang rảnh</t>
        </is>
      </c>
      <c r="D12" s="12" t="inlineStr">
        <is>
          <t>Một station candidate có status ACTIVE/BUSY.</t>
        </is>
      </c>
      <c r="E12" s="12" t="inlineStr">
        <is>
          <t>1. Mở popup/chi tiết trạm.
2. Đọc nhãn trạng thái.</t>
        </is>
      </c>
      <c r="F12" s="12" t="inlineStr">
        <is>
          <t>UI mô tả đây là metadata cấp trạm; không tuyên bố số cổng đang rảnh/đang sạc/hỏng theo thời gian thực.</t>
        </is>
      </c>
      <c r="G12" s="12" t="inlineStr">
        <is>
          <t>Text/UI audit; port_count chỉ là số connector tương thích trong payload detail.</t>
        </is>
      </c>
    </row>
    <row r="13">
      <c r="A13" s="12" t="n">
        <v>12</v>
      </c>
      <c r="B13" s="12" t="inlineStr">
        <is>
          <t>F1-TC-024</t>
        </is>
      </c>
      <c r="C13" s="12" t="inlineStr">
        <is>
          <t>Origin, destination và SOC ban đầu được nhận diện là dữ liệu người dùng nhập</t>
        </is>
      </c>
      <c r="D13" s="12" t="inlineStr">
        <is>
          <t>Trip tạo từ form.</t>
        </is>
      </c>
      <c r="E13" s="12" t="inlineStr">
        <is>
          <t>1. Lập plan.
2. Xem provenance/assumptions.</t>
        </is>
      </c>
      <c r="F13" s="12" t="inlineStr">
        <is>
          <t>Origin/destination chọn từ Goong có source_type=REAL_API; SOC ban đầu có source_type=MANUAL; không trình bày các input này như telemetry/OEM live.</t>
        </is>
      </c>
      <c r="G13" s="12" t="inlineStr">
        <is>
          <t>Coordinates selected via Goong Place Detail = REAL_API; initial SOC entered by user = MANUAL.</t>
        </is>
      </c>
    </row>
    <row r="14">
      <c r="A14" s="12" t="n">
        <v>13</v>
      </c>
      <c r="B14" s="12" t="inlineStr">
        <is>
          <t>F1-TC-026</t>
        </is>
      </c>
      <c r="C14" s="12" t="inlineStr">
        <is>
          <t>Chuyến ngắn không cần sạc</t>
        </is>
      </c>
      <c r="D14" s="12" t="inlineStr">
        <is>
          <t>Ví dụ nội đô Hà Nội; SOC 80–90%.</t>
        </is>
      </c>
      <c r="E14" s="12" t="inlineStr">
        <is>
          <t>1. Chọn hai điểm cách nhau ngắn.
2. Nhập SOC cao.
3. Lập plan.</t>
        </is>
      </c>
      <c r="F14" s="12" t="inlineStr">
        <is>
          <t>Có route hợp lệ; charging_stops rỗng; SOC đích ≥15%; UI nói rõ đi thẳng được, không phải trạng thái lỗi.</t>
        </is>
      </c>
      <c r="G14" s="12" t="inlineStr">
        <is>
          <t>LIVE: assert feasibility + no stop + SOC reserve; không pin exact distance.</t>
        </is>
      </c>
    </row>
    <row r="15">
      <c r="A15" s="12" t="n">
        <v>14</v>
      </c>
      <c r="B15" s="12" t="inlineStr">
        <is>
          <t>F1-TC-027</t>
        </is>
      </c>
      <c r="C15" s="12" t="inlineStr">
        <is>
          <t>Chuyến dài kiểm tra nhu cầu sạc theo dữ liệu live</t>
        </is>
      </c>
      <c r="D15" s="12" t="inlineStr">
        <is>
          <t>Goong/VinFast/Open-Meteo hoạt động.</t>
        </is>
      </c>
      <c r="E15" s="12" t="inlineStr">
        <is>
          <t>1. Lập plan.
2. Kiểm tra route, station, SOC arrival/departure và final SOC.</t>
        </is>
      </c>
      <c r="F15" s="12" t="inlineStr">
        <is>
          <t>Planner trả plan an toàn hoặc INFEASIBLE có lý do; nếu có trạm thì route từng leg dùng Goong waypoint, station CCS2 hợp lệ và mọi arrival SOC ≥15%.</t>
        </is>
      </c>
      <c r="G15" s="12" t="inlineStr">
        <is>
          <t>LIVE invariant; không khóa chính xác số trạm hoặc tên trạm.</t>
        </is>
      </c>
    </row>
    <row r="16">
      <c r="A16" s="12" t="n">
        <v>15</v>
      </c>
      <c r="B16" s="12" t="inlineStr">
        <is>
          <t>F1-TC-029</t>
        </is>
      </c>
      <c r="C16" s="12" t="inlineStr">
        <is>
          <t>SOC thấp kiểm tra khả năng backtrack gần origin</t>
        </is>
      </c>
      <c r="D16" s="12" t="inlineStr">
        <is>
          <t>Live providers hoạt động.</t>
        </is>
      </c>
      <c r="E16" s="12" t="inlineStr">
        <is>
          <t>1. Nhập route và SOC 17%.
2. Lập plan.
3. Kiểm tra candidate gần/ở phía sau origin.</t>
        </is>
      </c>
      <c r="F16" s="12" t="inlineStr">
        <is>
          <t>Nếu có station backtracking được Goong xác minh và vẫn giữ SOC ≥15%, planner có thể chọn; nếu không có chuỗi an toàn thì trả INFEASIBLE minh bạch.</t>
        </is>
      </c>
      <c r="G16" s="12" t="inlineStr">
        <is>
          <t>LIVE invariant; không bắt buộc lần chạy live nào cũng phải có backtracking.</t>
        </is>
      </c>
    </row>
    <row r="17">
      <c r="A17" s="12" t="n">
        <v>16</v>
      </c>
      <c r="B17" s="12" t="inlineStr">
        <is>
          <t>F1-TC-076</t>
        </is>
      </c>
      <c r="C17" s="12" t="inlineStr">
        <is>
          <t>Hai lần chạy live có thể khác dữ liệu nhưng phải giữ invariant</t>
        </is>
      </c>
      <c r="D17" s="12" t="inlineStr">
        <is>
          <t>Cùng input chạy ở hai thời điểm.</t>
        </is>
      </c>
      <c r="E17" s="12" t="inlineStr">
        <is>
          <t>1. Lập plan lần 1.
2. Lập plan lần 2 sau một khoảng thời gian.</t>
        </is>
      </c>
      <c r="F17" s="12" t="inlineStr">
        <is>
          <t>Cho phép station/weather/duration khác; nhưng mọi plan được trả phải đúng CCS2, SOC arrival ≥15%, provenance/timestamps chính xác và không bịa availability.</t>
        </is>
      </c>
      <c r="G17" s="12" t="inlineStr">
        <is>
          <t>LIVE oracle = invariants, không so exact values.</t>
        </is>
      </c>
    </row>
    <row r="18">
      <c r="A18" s="12" t="n">
        <v>17</v>
      </c>
      <c r="B18" s="12" t="inlineStr">
        <is>
          <t>F1-TC-077</t>
        </is>
      </c>
      <c r="C18" s="12" t="inlineStr">
        <is>
          <t>Goong REST API key không lộ ở browser</t>
        </is>
      </c>
      <c r="D18" s="12" t="inlineStr">
        <is>
          <t>Production build.</t>
        </is>
      </c>
      <c r="E18" s="12" t="inlineStr">
        <is>
          <t>1. Mở Network và Sources.
2. Dùng Places autocomplete.
3. Tìm GOONG_API_KEY/REST key trong bundle/request client.</t>
        </is>
      </c>
      <c r="F18" s="12" t="inlineStr">
        <is>
          <t>Places REST key không xuất hiện trong browser; browser gọi backend proxy cho autocomplete/detail.</t>
        </is>
      </c>
      <c r="G18" s="12" t="inlineStr">
        <is>
          <t>Security inspection: no server REST key in frontend bundle/network.</t>
        </is>
      </c>
    </row>
    <row r="19">
      <c r="A19" s="12" t="n">
        <v>18</v>
      </c>
      <c r="B19" s="12" t="inlineStr">
        <is>
          <t>F1-TC-078</t>
        </is>
      </c>
      <c r="C19" s="12" t="inlineStr">
        <is>
          <t>Maptiles key công khai không bị nhầm với REST key</t>
        </is>
      </c>
      <c r="D19" s="12" t="inlineStr">
        <is>
          <t>Production build.</t>
        </is>
      </c>
      <c r="E19" s="12" t="inlineStr">
        <is>
          <t>1. Kiểm tra frontend env/bundle.
2. So key sử dụng cho map với backend REST key.</t>
        </is>
      </c>
      <c r="F19" s="12" t="inlineStr">
        <is>
          <t>Chỉ key được phép công khai xuất hiện ở frontend; server REST key vẫn ở backend.</t>
        </is>
      </c>
      <c r="G19" s="12" t="inlineStr">
        <is>
          <t>Manual security audit.</t>
        </is>
      </c>
    </row>
    <row r="20">
      <c r="A20" s="12" t="n">
        <v>19</v>
      </c>
      <c r="B20" s="12" t="inlineStr">
        <is>
          <t>F1-TC-080</t>
        </is>
      </c>
      <c r="C20" s="12" t="inlineStr">
        <is>
          <t>Giao diện tiếng Việt và dữ liệu đủ cho mentor đọc</t>
        </is>
      </c>
      <c r="D20" s="12" t="inlineStr">
        <is>
          <t>Plan thành công.</t>
        </is>
      </c>
      <c r="E20" s="12" t="inlineStr">
        <is>
          <t>1. Lập plan.
2. Mở station popup, SOC chart, risk panel, source panel.</t>
        </is>
      </c>
      <c r="F20" s="12" t="inlineStr">
        <is>
          <t>Không còn chuỗi tiếng Anh kỹ thuật thô ở luồng chính; thông tin route/trạm/SOC/risk/provenance dễ hiểu.</t>
        </is>
      </c>
      <c r="G20" s="12" t="inlineStr">
        <is>
          <t>Manual UX checklist.</t>
        </is>
      </c>
    </row>
    <row r="21">
      <c r="A21" s="12" t="n">
        <v>20</v>
      </c>
      <c r="B21" s="12" t="inlineStr">
        <is>
          <t>F1-TC-084</t>
        </is>
      </c>
      <c r="C21" s="12" t="inlineStr">
        <is>
          <t>Route/trạm không dùng OpenStreetMap/Leaflet cũ</t>
        </is>
      </c>
      <c r="D21" s="12" t="inlineStr">
        <is>
          <t>Production build.</t>
        </is>
      </c>
      <c r="E21" s="12" t="inlineStr">
        <is>
          <t>1. Inspect bundle/network.
2. Lập plan.</t>
        </is>
      </c>
      <c r="F21" s="12" t="inlineStr">
        <is>
          <t>Không có tile.openstreetmap, Leaflet/react-leaflet; map và route chạy trên Goong stack hiện hành.</t>
        </is>
      </c>
      <c r="G21" s="12" t="inlineStr">
        <is>
          <t>Bundle/network audit.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8" max="8"/>
    <col width="22" customWidth="1" min="9" max="9"/>
  </cols>
  <sheetData>
    <row r="1">
      <c r="A1" s="6" t="inlineStr">
        <is>
          <t>Hạng mục</t>
        </is>
      </c>
      <c r="B1" s="6" t="inlineStr">
        <is>
          <t>Số case</t>
        </is>
      </c>
      <c r="C1" s="6" t="inlineStr">
        <is>
          <t>P0</t>
        </is>
      </c>
      <c r="D1" s="6" t="inlineStr">
        <is>
          <t>P1</t>
        </is>
      </c>
      <c r="E1" s="6" t="inlineStr">
        <is>
          <t>LIVE</t>
        </is>
      </c>
      <c r="F1" s="6" t="inlineStr">
        <is>
          <t>FIXTURE</t>
        </is>
      </c>
      <c r="H1" s="6" t="inlineStr">
        <is>
          <t>Tổng quan</t>
        </is>
      </c>
      <c r="I1" s="6" t="inlineStr">
        <is>
          <t>Giá trị</t>
        </is>
      </c>
    </row>
    <row r="2">
      <c r="A2" s="12" t="inlineStr">
        <is>
          <t>F1-US1</t>
        </is>
      </c>
      <c r="B2" s="12">
        <f>COUNTIF(F1_Test_Cases!$C$2:$C$85,A2)</f>
        <v/>
      </c>
      <c r="C2" s="12">
        <f>COUNTIFS(F1_Test_Cases!$C$2:$C$85,A2,F1_Test_Cases!$E$2:$E$85,"P0")</f>
        <v/>
      </c>
      <c r="D2" s="12">
        <f>COUNTIFS(F1_Test_Cases!$C$2:$C$85,A2,F1_Test_Cases!$E$2:$E$85,"P1")</f>
        <v/>
      </c>
      <c r="E2" s="12">
        <f>COUNTIFS(F1_Test_Cases!$C$2:$C$85,A2,F1_Test_Cases!$F$2:$F$85,"LIVE")</f>
        <v/>
      </c>
      <c r="F2" s="12">
        <f>COUNTIFS(F1_Test_Cases!$C$2:$C$85,A2,F1_Test_Cases!$F$2:$F$85,"FIXTURE")</f>
        <v/>
      </c>
      <c r="H2" t="inlineStr">
        <is>
          <t>Tổng số test case</t>
        </is>
      </c>
      <c r="I2" t="n">
        <v>84</v>
      </c>
    </row>
    <row r="3">
      <c r="A3" s="12" t="inlineStr">
        <is>
          <t>F1-US2</t>
        </is>
      </c>
      <c r="B3" s="12">
        <f>COUNTIF(F1_Test_Cases!$C$2:$C$85,A3)</f>
        <v/>
      </c>
      <c r="C3" s="12">
        <f>COUNTIFS(F1_Test_Cases!$C$2:$C$85,A3,F1_Test_Cases!$E$2:$E$85,"P0")</f>
        <v/>
      </c>
      <c r="D3" s="12">
        <f>COUNTIFS(F1_Test_Cases!$C$2:$C$85,A3,F1_Test_Cases!$E$2:$E$85,"P1")</f>
        <v/>
      </c>
      <c r="E3" s="12">
        <f>COUNTIFS(F1_Test_Cases!$C$2:$C$85,A3,F1_Test_Cases!$F$2:$F$85,"LIVE")</f>
        <v/>
      </c>
      <c r="F3" s="12">
        <f>COUNTIFS(F1_Test_Cases!$C$2:$C$85,A3,F1_Test_Cases!$F$2:$F$85,"FIXTURE")</f>
        <v/>
      </c>
      <c r="H3" t="inlineStr">
        <is>
          <t>LIVE smoke case</t>
        </is>
      </c>
      <c r="I3" t="n">
        <v>20</v>
      </c>
    </row>
    <row r="4">
      <c r="A4" s="12" t="inlineStr">
        <is>
          <t>F1-US3</t>
        </is>
      </c>
      <c r="B4" s="12">
        <f>COUNTIF(F1_Test_Cases!$C$2:$C$85,A4)</f>
        <v/>
      </c>
      <c r="C4" s="12">
        <f>COUNTIFS(F1_Test_Cases!$C$2:$C$85,A4,F1_Test_Cases!$E$2:$E$85,"P0")</f>
        <v/>
      </c>
      <c r="D4" s="12">
        <f>COUNTIFS(F1_Test_Cases!$C$2:$C$85,A4,F1_Test_Cases!$E$2:$E$85,"P1")</f>
        <v/>
      </c>
      <c r="E4" s="12">
        <f>COUNTIFS(F1_Test_Cases!$C$2:$C$85,A4,F1_Test_Cases!$F$2:$F$85,"LIVE")</f>
        <v/>
      </c>
      <c r="F4" s="12">
        <f>COUNTIFS(F1_Test_Cases!$C$2:$C$85,A4,F1_Test_Cases!$F$2:$F$85,"FIXTURE")</f>
        <v/>
      </c>
      <c r="H4" t="inlineStr">
        <is>
          <t>P0</t>
        </is>
      </c>
      <c r="I4" t="n">
        <v>58</v>
      </c>
    </row>
    <row r="5">
      <c r="A5" s="12" t="inlineStr">
        <is>
          <t>F1-US4</t>
        </is>
      </c>
      <c r="B5" s="12">
        <f>COUNTIF(F1_Test_Cases!$C$2:$C$85,A5)</f>
        <v/>
      </c>
      <c r="C5" s="12">
        <f>COUNTIFS(F1_Test_Cases!$C$2:$C$85,A5,F1_Test_Cases!$E$2:$E$85,"P0")</f>
        <v/>
      </c>
      <c r="D5" s="12">
        <f>COUNTIFS(F1_Test_Cases!$C$2:$C$85,A5,F1_Test_Cases!$E$2:$E$85,"P1")</f>
        <v/>
      </c>
      <c r="E5" s="12">
        <f>COUNTIFS(F1_Test_Cases!$C$2:$C$85,A5,F1_Test_Cases!$F$2:$F$85,"LIVE")</f>
        <v/>
      </c>
      <c r="F5" s="12">
        <f>COUNTIFS(F1_Test_Cases!$C$2:$C$85,A5,F1_Test_Cases!$F$2:$F$85,"FIXTURE")</f>
        <v/>
      </c>
      <c r="H5" t="inlineStr">
        <is>
          <t>P1</t>
        </is>
      </c>
      <c r="I5" t="n">
        <v>26</v>
      </c>
    </row>
    <row r="6">
      <c r="A6" s="12" t="inlineStr">
        <is>
          <t>F1-US3/F1-US4</t>
        </is>
      </c>
      <c r="B6" s="12">
        <f>COUNTIF(F1_Test_Cases!$C$2:$C$85,A6)</f>
        <v/>
      </c>
      <c r="C6" s="12">
        <f>COUNTIFS(F1_Test_Cases!$C$2:$C$85,A6,F1_Test_Cases!$E$2:$E$85,"P0")</f>
        <v/>
      </c>
      <c r="D6" s="12">
        <f>COUNTIFS(F1_Test_Cases!$C$2:$C$85,A6,F1_Test_Cases!$E$2:$E$85,"P1")</f>
        <v/>
      </c>
      <c r="E6" s="12">
        <f>COUNTIFS(F1_Test_Cases!$C$2:$C$85,A6,F1_Test_Cases!$F$2:$F$85,"LIVE")</f>
        <v/>
      </c>
      <c r="F6" s="12">
        <f>COUNTIFS(F1_Test_Cases!$C$2:$C$85,A6,F1_Test_Cases!$F$2:$F$85,"FIXTURE")</f>
        <v/>
      </c>
      <c r="H6" t="inlineStr">
        <is>
          <t>Phạm vi</t>
        </is>
      </c>
      <c r="I6" t="inlineStr">
        <is>
          <t>F1-US1 → F1-US4</t>
        </is>
      </c>
    </row>
    <row r="7">
      <c r="A7" s="12" t="inlineStr">
        <is>
          <t>F1-US1/F1-US3</t>
        </is>
      </c>
      <c r="B7" s="12">
        <f>COUNTIF(F1_Test_Cases!$C$2:$C$85,A7)</f>
        <v/>
      </c>
      <c r="C7" s="12">
        <f>COUNTIFS(F1_Test_Cases!$C$2:$C$85,A7,F1_Test_Cases!$E$2:$E$85,"P0")</f>
        <v/>
      </c>
      <c r="D7" s="12">
        <f>COUNTIFS(F1_Test_Cases!$C$2:$C$85,A7,F1_Test_Cases!$E$2:$E$85,"P1")</f>
        <v/>
      </c>
      <c r="E7" s="12">
        <f>COUNTIFS(F1_Test_Cases!$C$2:$C$85,A7,F1_Test_Cases!$F$2:$F$85,"LIVE")</f>
        <v/>
      </c>
      <c r="F7" s="12">
        <f>COUNTIFS(F1_Test_Cases!$C$2:$C$85,A7,F1_Test_Cases!$F$2:$F$85,"FIXTURE")</f>
        <v/>
      </c>
    </row>
    <row r="8">
      <c r="A8" s="12" t="n"/>
      <c r="B8" s="12" t="n"/>
      <c r="C8" s="12" t="n"/>
      <c r="D8" s="12" t="n"/>
      <c r="E8" s="12" t="n"/>
      <c r="F8" s="12" t="n"/>
    </row>
    <row r="9">
      <c r="A9" s="12" t="n"/>
      <c r="B9" s="12" t="n"/>
      <c r="C9" s="12" t="n"/>
      <c r="D9" s="12" t="n"/>
      <c r="E9" s="12" t="n"/>
      <c r="F9" s="12" t="n"/>
    </row>
    <row r="10">
      <c r="A10" s="6" t="inlineStr">
        <is>
          <t>Nhóm kiểm thử</t>
        </is>
      </c>
      <c r="B10" s="6" t="inlineStr">
        <is>
          <t>Số case</t>
        </is>
      </c>
      <c r="C10" s="6" t="inlineStr">
        <is>
          <t>P0</t>
        </is>
      </c>
      <c r="D10" s="6" t="inlineStr">
        <is>
          <t>P1</t>
        </is>
      </c>
      <c r="E10" s="12" t="n"/>
      <c r="F10" s="12" t="n"/>
    </row>
    <row r="11">
      <c r="A11" s="12" t="inlineStr">
        <is>
          <t>AI Boundary</t>
        </is>
      </c>
      <c r="B11" s="12">
        <f>COUNTIF(F1_Test_Cases!$D$2:$D$85,A11)</f>
        <v/>
      </c>
      <c r="C11" s="12">
        <f>COUNTIFS(F1_Test_Cases!$D$2:$D$85,A11,F1_Test_Cases!$E$2:$E$85,"P0")</f>
        <v/>
      </c>
      <c r="D11" s="12">
        <f>COUNTIFS(F1_Test_Cases!$D$2:$D$85,A11,F1_Test_Cases!$E$2:$E$85,"P1")</f>
        <v/>
      </c>
      <c r="E11" s="12" t="n"/>
      <c r="F11" s="12" t="n"/>
    </row>
    <row r="12">
      <c r="A12" s="12" t="inlineStr">
        <is>
          <t>Assumptions</t>
        </is>
      </c>
      <c r="B12" s="12">
        <f>COUNTIF(F1_Test_Cases!$D$2:$D$85,A12)</f>
        <v/>
      </c>
      <c r="C12" s="12">
        <f>COUNTIFS(F1_Test_Cases!$D$2:$D$85,A12,F1_Test_Cases!$E$2:$E$85,"P0")</f>
        <v/>
      </c>
      <c r="D12" s="12">
        <f>COUNTIFS(F1_Test_Cases!$D$2:$D$85,A12,F1_Test_Cases!$E$2:$E$85,"P1")</f>
        <v/>
      </c>
      <c r="E12" s="12" t="n"/>
      <c r="F12" s="12" t="n"/>
    </row>
    <row r="13">
      <c r="A13" s="12" t="inlineStr">
        <is>
          <t>Charge Target</t>
        </is>
      </c>
      <c r="B13" s="12">
        <f>COUNTIF(F1_Test_Cases!$D$2:$D$85,A13)</f>
        <v/>
      </c>
      <c r="C13" s="12">
        <f>COUNTIFS(F1_Test_Cases!$D$2:$D$85,A13,F1_Test_Cases!$E$2:$E$85,"P0")</f>
        <v/>
      </c>
      <c r="D13" s="12">
        <f>COUNTIFS(F1_Test_Cases!$D$2:$D$85,A13,F1_Test_Cases!$E$2:$E$85,"P1")</f>
        <v/>
      </c>
      <c r="E13" s="12" t="n"/>
      <c r="F13" s="12" t="n"/>
    </row>
    <row r="14">
      <c r="A14" s="12" t="inlineStr">
        <is>
          <t>Charging Time</t>
        </is>
      </c>
      <c r="B14" s="12">
        <f>COUNTIF(F1_Test_Cases!$D$2:$D$85,A14)</f>
        <v/>
      </c>
      <c r="C14" s="12">
        <f>COUNTIFS(F1_Test_Cases!$D$2:$D$85,A14,F1_Test_Cases!$E$2:$E$85,"P0")</f>
        <v/>
      </c>
      <c r="D14" s="12">
        <f>COUNTIFS(F1_Test_Cases!$D$2:$D$85,A14,F1_Test_Cases!$E$2:$E$85,"P1")</f>
        <v/>
      </c>
      <c r="E14" s="12" t="n"/>
      <c r="F14" s="12" t="n"/>
    </row>
    <row r="15">
      <c r="A15" s="12" t="inlineStr">
        <is>
          <t>Connector</t>
        </is>
      </c>
      <c r="B15" s="12">
        <f>COUNTIF(F1_Test_Cases!$D$2:$D$85,A15)</f>
        <v/>
      </c>
      <c r="C15" s="12">
        <f>COUNTIFS(F1_Test_Cases!$D$2:$D$85,A15,F1_Test_Cases!$E$2:$E$85,"P0")</f>
        <v/>
      </c>
      <c r="D15" s="12">
        <f>COUNTIFS(F1_Test_Cases!$D$2:$D$85,A15,F1_Test_Cases!$E$2:$E$85,"P1")</f>
        <v/>
      </c>
      <c r="E15" s="12" t="n"/>
      <c r="F15" s="12" t="n"/>
    </row>
    <row r="16">
      <c r="A16" s="12" t="inlineStr">
        <is>
          <t>Contract</t>
        </is>
      </c>
      <c r="B16" s="12">
        <f>COUNTIF(F1_Test_Cases!$D$2:$D$85,A16)</f>
        <v/>
      </c>
      <c r="C16" s="12">
        <f>COUNTIFS(F1_Test_Cases!$D$2:$D$85,A16,F1_Test_Cases!$E$2:$E$85,"P0")</f>
        <v/>
      </c>
      <c r="D16" s="12">
        <f>COUNTIFS(F1_Test_Cases!$D$2:$D$85,A16,F1_Test_Cases!$E$2:$E$85,"P1")</f>
        <v/>
      </c>
      <c r="E16" s="12" t="n"/>
      <c r="F16" s="12" t="n"/>
    </row>
    <row r="17">
      <c r="A17" s="12" t="inlineStr">
        <is>
          <t>Data Provenance</t>
        </is>
      </c>
      <c r="B17" s="12">
        <f>COUNTIF(F1_Test_Cases!$D$2:$D$85,A17)</f>
        <v/>
      </c>
      <c r="C17" s="12">
        <f>COUNTIFS(F1_Test_Cases!$D$2:$D$85,A17,F1_Test_Cases!$E$2:$E$85,"P0")</f>
        <v/>
      </c>
      <c r="D17" s="12">
        <f>COUNTIFS(F1_Test_Cases!$D$2:$D$85,A17,F1_Test_Cases!$E$2:$E$85,"P1")</f>
        <v/>
      </c>
      <c r="E17" s="12" t="n"/>
      <c r="F17" s="12" t="n"/>
    </row>
    <row r="18">
      <c r="A18" s="12" t="inlineStr">
        <is>
          <t>Data Transparency</t>
        </is>
      </c>
      <c r="B18" s="12">
        <f>COUNTIF(F1_Test_Cases!$D$2:$D$85,A18)</f>
        <v/>
      </c>
      <c r="C18" s="12">
        <f>COUNTIFS(F1_Test_Cases!$D$2:$D$85,A18,F1_Test_Cases!$E$2:$E$85,"P0")</f>
        <v/>
      </c>
      <c r="D18" s="12">
        <f>COUNTIFS(F1_Test_Cases!$D$2:$D$85,A18,F1_Test_Cases!$E$2:$E$85,"P1")</f>
        <v/>
      </c>
      <c r="E18" s="12" t="n"/>
      <c r="F18" s="12" t="n"/>
    </row>
    <row r="19">
      <c r="A19" s="12" t="inlineStr">
        <is>
          <t>Dense Urban</t>
        </is>
      </c>
      <c r="B19" s="12">
        <f>COUNTIF(F1_Test_Cases!$D$2:$D$85,A19)</f>
        <v/>
      </c>
      <c r="C19" s="12">
        <f>COUNTIFS(F1_Test_Cases!$D$2:$D$85,A19,F1_Test_Cases!$E$2:$E$85,"P0")</f>
        <v/>
      </c>
      <c r="D19" s="12">
        <f>COUNTIFS(F1_Test_Cases!$D$2:$D$85,A19,F1_Test_Cases!$E$2:$E$85,"P1")</f>
        <v/>
      </c>
      <c r="E19" s="12" t="n"/>
      <c r="F19" s="12" t="n"/>
    </row>
    <row r="20">
      <c r="A20" s="12" t="inlineStr">
        <is>
          <t>Detour Boundary</t>
        </is>
      </c>
      <c r="B20" s="12">
        <f>COUNTIF(F1_Test_Cases!$D$2:$D$85,A20)</f>
        <v/>
      </c>
      <c r="C20" s="12">
        <f>COUNTIFS(F1_Test_Cases!$D$2:$D$85,A20,F1_Test_Cases!$E$2:$E$85,"P0")</f>
        <v/>
      </c>
      <c r="D20" s="12">
        <f>COUNTIFS(F1_Test_Cases!$D$2:$D$85,A20,F1_Test_Cases!$E$2:$E$85,"P1")</f>
        <v/>
      </c>
      <c r="E20" s="12" t="n"/>
      <c r="F20" s="12" t="n"/>
    </row>
    <row r="21">
      <c r="A21" s="12" t="inlineStr">
        <is>
          <t>Environment</t>
        </is>
      </c>
      <c r="B21" s="12">
        <f>COUNTIF(F1_Test_Cases!$D$2:$D$85,A21)</f>
        <v/>
      </c>
      <c r="C21" s="12">
        <f>COUNTIFS(F1_Test_Cases!$D$2:$D$85,A21,F1_Test_Cases!$E$2:$E$85,"P0")</f>
        <v/>
      </c>
      <c r="D21" s="12">
        <f>COUNTIFS(F1_Test_Cases!$D$2:$D$85,A21,F1_Test_Cases!$E$2:$E$85,"P1")</f>
        <v/>
      </c>
      <c r="E21" s="12" t="n"/>
      <c r="F21" s="12" t="n"/>
    </row>
    <row r="22">
      <c r="A22" s="12" t="inlineStr">
        <is>
          <t>Fail Closed</t>
        </is>
      </c>
      <c r="B22" s="12">
        <f>COUNTIF(F1_Test_Cases!$D$2:$D$85,A22)</f>
        <v/>
      </c>
      <c r="C22" s="12">
        <f>COUNTIFS(F1_Test_Cases!$D$2:$D$85,A22,F1_Test_Cases!$E$2:$E$85,"P0")</f>
        <v/>
      </c>
      <c r="D22" s="12">
        <f>COUNTIFS(F1_Test_Cases!$D$2:$D$85,A22,F1_Test_Cases!$E$2:$E$85,"P1")</f>
        <v/>
      </c>
      <c r="E22" s="12" t="n"/>
      <c r="F22" s="12" t="n"/>
    </row>
    <row r="23">
      <c r="A23" s="12" t="inlineStr">
        <is>
          <t>Happy Path</t>
        </is>
      </c>
      <c r="B23" s="12">
        <f>COUNTIF(F1_Test_Cases!$D$2:$D$85,A23)</f>
        <v/>
      </c>
      <c r="C23" s="12">
        <f>COUNTIFS(F1_Test_Cases!$D$2:$D$85,A23,F1_Test_Cases!$E$2:$E$85,"P0")</f>
        <v/>
      </c>
      <c r="D23" s="12">
        <f>COUNTIFS(F1_Test_Cases!$D$2:$D$85,A23,F1_Test_Cases!$E$2:$E$85,"P1")</f>
        <v/>
      </c>
      <c r="E23" s="12" t="n"/>
      <c r="F23" s="12" t="n"/>
    </row>
    <row r="24">
      <c r="A24" s="12" t="inlineStr">
        <is>
          <t>Input &amp; Places</t>
        </is>
      </c>
      <c r="B24" s="12">
        <f>COUNTIF(F1_Test_Cases!$D$2:$D$85,A24)</f>
        <v/>
      </c>
      <c r="C24" s="12">
        <f>COUNTIFS(F1_Test_Cases!$D$2:$D$85,A24,F1_Test_Cases!$E$2:$E$85,"P0")</f>
        <v/>
      </c>
      <c r="D24" s="12">
        <f>COUNTIFS(F1_Test_Cases!$D$2:$D$85,A24,F1_Test_Cases!$E$2:$E$85,"P1")</f>
        <v/>
      </c>
      <c r="E24" s="12" t="n"/>
      <c r="F24" s="12" t="n"/>
    </row>
    <row r="25">
      <c r="A25" s="12" t="inlineStr">
        <is>
          <t>Input Validation</t>
        </is>
      </c>
      <c r="B25" s="12">
        <f>COUNTIF(F1_Test_Cases!$D$2:$D$85,A25)</f>
        <v/>
      </c>
      <c r="C25" s="12">
        <f>COUNTIFS(F1_Test_Cases!$D$2:$D$85,A25,F1_Test_Cases!$E$2:$E$85,"P0")</f>
        <v/>
      </c>
      <c r="D25" s="12">
        <f>COUNTIFS(F1_Test_Cases!$D$2:$D$85,A25,F1_Test_Cases!$E$2:$E$85,"P1")</f>
        <v/>
      </c>
      <c r="E25" s="12" t="n"/>
      <c r="F25" s="12" t="n"/>
    </row>
    <row r="26">
      <c r="A26" s="12" t="inlineStr">
        <is>
          <t>Low SOC / Backtrack</t>
        </is>
      </c>
      <c r="B26" s="12">
        <f>COUNTIF(F1_Test_Cases!$D$2:$D$85,A26)</f>
        <v/>
      </c>
      <c r="C26" s="12">
        <f>COUNTIFS(F1_Test_Cases!$D$2:$D$85,A26,F1_Test_Cases!$E$2:$E$85,"P0")</f>
        <v/>
      </c>
      <c r="D26" s="12">
        <f>COUNTIFS(F1_Test_Cases!$D$2:$D$85,A26,F1_Test_Cases!$E$2:$E$85,"P1")</f>
        <v/>
      </c>
      <c r="E26" s="12" t="n"/>
      <c r="F26" s="12" t="n"/>
    </row>
    <row r="27">
      <c r="A27" s="12" t="inlineStr">
        <is>
          <t>Multiple Plans</t>
        </is>
      </c>
      <c r="B27" s="12">
        <f>COUNTIF(F1_Test_Cases!$D$2:$D$85,A27)</f>
        <v/>
      </c>
      <c r="C27" s="12">
        <f>COUNTIFS(F1_Test_Cases!$D$2:$D$85,A27,F1_Test_Cases!$E$2:$E$85,"P0")</f>
        <v/>
      </c>
      <c r="D27" s="12">
        <f>COUNTIFS(F1_Test_Cases!$D$2:$D$85,A27,F1_Test_Cases!$E$2:$E$85,"P1")</f>
        <v/>
      </c>
      <c r="E27" s="12" t="n"/>
      <c r="F27" s="12" t="n"/>
    </row>
    <row r="28">
      <c r="A28" s="12" t="inlineStr">
        <is>
          <t>Plan Persistence</t>
        </is>
      </c>
      <c r="B28" s="12">
        <f>COUNTIF(F1_Test_Cases!$D$2:$D$85,A28)</f>
        <v/>
      </c>
      <c r="C28" s="12">
        <f>COUNTIFS(F1_Test_Cases!$D$2:$D$85,A28,F1_Test_Cases!$E$2:$E$85,"P0")</f>
        <v/>
      </c>
      <c r="D28" s="12">
        <f>COUNTIFS(F1_Test_Cases!$D$2:$D$85,A28,F1_Test_Cases!$E$2:$E$85,"P1")</f>
        <v/>
      </c>
      <c r="E28" s="12" t="n"/>
      <c r="F28" s="12" t="n"/>
    </row>
    <row r="29">
      <c r="A29" s="12" t="inlineStr">
        <is>
          <t>Provider Failure</t>
        </is>
      </c>
      <c r="B29" s="12">
        <f>COUNTIF(F1_Test_Cases!$D$2:$D$85,A29)</f>
        <v/>
      </c>
      <c r="C29" s="12">
        <f>COUNTIFS(F1_Test_Cases!$D$2:$D$85,A29,F1_Test_Cases!$E$2:$E$85,"P0")</f>
        <v/>
      </c>
      <c r="D29" s="12">
        <f>COUNTIFS(F1_Test_Cases!$D$2:$D$85,A29,F1_Test_Cases!$E$2:$E$85,"P1")</f>
        <v/>
      </c>
      <c r="E29" s="12" t="n"/>
      <c r="F29" s="12" t="n"/>
    </row>
    <row r="30">
      <c r="A30" s="12" t="inlineStr">
        <is>
          <t>Regression</t>
        </is>
      </c>
      <c r="B30" s="12">
        <f>COUNTIF(F1_Test_Cases!$D$2:$D$85,A30)</f>
        <v/>
      </c>
      <c r="C30" s="12">
        <f>COUNTIFS(F1_Test_Cases!$D$2:$D$85,A30,F1_Test_Cases!$E$2:$E$85,"P0")</f>
        <v/>
      </c>
      <c r="D30" s="12">
        <f>COUNTIFS(F1_Test_Cases!$D$2:$D$85,A30,F1_Test_Cases!$E$2:$E$85,"P1")</f>
        <v/>
      </c>
      <c r="E30" s="12" t="n"/>
      <c r="F30" s="12" t="n"/>
    </row>
    <row r="31">
      <c r="A31" s="12" t="inlineStr">
        <is>
          <t>Reproducibility</t>
        </is>
      </c>
      <c r="B31" s="12">
        <f>COUNTIF(F1_Test_Cases!$D$2:$D$85,A31)</f>
        <v/>
      </c>
      <c r="C31" s="12">
        <f>COUNTIFS(F1_Test_Cases!$D$2:$D$85,A31,F1_Test_Cases!$E$2:$E$85,"P0")</f>
        <v/>
      </c>
      <c r="D31" s="12">
        <f>COUNTIFS(F1_Test_Cases!$D$2:$D$85,A31,F1_Test_Cases!$E$2:$E$85,"P1")</f>
        <v/>
      </c>
      <c r="E31" s="12" t="n"/>
      <c r="F31" s="12" t="n"/>
    </row>
    <row r="32">
      <c r="A32" s="12" t="inlineStr">
        <is>
          <t>Resilience UX</t>
        </is>
      </c>
      <c r="B32" s="12">
        <f>COUNTIF(F1_Test_Cases!$D$2:$D$85,A32)</f>
        <v/>
      </c>
      <c r="C32" s="12">
        <f>COUNTIFS(F1_Test_Cases!$D$2:$D$85,A32,F1_Test_Cases!$E$2:$E$85,"P0")</f>
        <v/>
      </c>
      <c r="D32" s="12">
        <f>COUNTIFS(F1_Test_Cases!$D$2:$D$85,A32,F1_Test_Cases!$E$2:$E$85,"P1")</f>
        <v/>
      </c>
      <c r="E32" s="12" t="n"/>
      <c r="F32" s="12" t="n"/>
    </row>
    <row r="33">
      <c r="A33" s="12" t="inlineStr">
        <is>
          <t>Risk UI</t>
        </is>
      </c>
      <c r="B33" s="12">
        <f>COUNTIF(F1_Test_Cases!$D$2:$D$85,A33)</f>
        <v/>
      </c>
      <c r="C33" s="12">
        <f>COUNTIFS(F1_Test_Cases!$D$2:$D$85,A33,F1_Test_Cases!$E$2:$E$85,"P0")</f>
        <v/>
      </c>
      <c r="D33" s="12">
        <f>COUNTIFS(F1_Test_Cases!$D$2:$D$85,A33,F1_Test_Cases!$E$2:$E$85,"P1")</f>
        <v/>
      </c>
      <c r="E33" s="12" t="n"/>
      <c r="F33" s="12" t="n"/>
    </row>
    <row r="34">
      <c r="A34" s="12" t="inlineStr">
        <is>
          <t>Runtime Separation</t>
        </is>
      </c>
      <c r="B34" s="12">
        <f>COUNTIF(F1_Test_Cases!$D$2:$D$85,A34)</f>
        <v/>
      </c>
      <c r="C34" s="12">
        <f>COUNTIFS(F1_Test_Cases!$D$2:$D$85,A34,F1_Test_Cases!$E$2:$E$85,"P0")</f>
        <v/>
      </c>
      <c r="D34" s="12">
        <f>COUNTIFS(F1_Test_Cases!$D$2:$D$85,A34,F1_Test_Cases!$E$2:$E$85,"P1")</f>
        <v/>
      </c>
      <c r="E34" s="12" t="n"/>
      <c r="F34" s="12" t="n"/>
    </row>
    <row r="35">
      <c r="A35" s="12" t="inlineStr">
        <is>
          <t>SOC Chart</t>
        </is>
      </c>
      <c r="B35" s="12">
        <f>COUNTIF(F1_Test_Cases!$D$2:$D$85,A35)</f>
        <v/>
      </c>
      <c r="C35" s="12">
        <f>COUNTIFS(F1_Test_Cases!$D$2:$D$85,A35,F1_Test_Cases!$E$2:$E$85,"P0")</f>
        <v/>
      </c>
      <c r="D35" s="12">
        <f>COUNTIFS(F1_Test_Cases!$D$2:$D$85,A35,F1_Test_Cases!$E$2:$E$85,"P1")</f>
        <v/>
      </c>
      <c r="E35" s="12" t="n"/>
      <c r="F35" s="12" t="n"/>
    </row>
    <row r="36">
      <c r="A36" s="12" t="inlineStr">
        <is>
          <t>Safety</t>
        </is>
      </c>
      <c r="B36" s="12">
        <f>COUNTIF(F1_Test_Cases!$D$2:$D$85,A36)</f>
        <v/>
      </c>
      <c r="C36" s="12">
        <f>COUNTIFS(F1_Test_Cases!$D$2:$D$85,A36,F1_Test_Cases!$E$2:$E$85,"P0")</f>
        <v/>
      </c>
      <c r="D36" s="12">
        <f>COUNTIFS(F1_Test_Cases!$D$2:$D$85,A36,F1_Test_Cases!$E$2:$E$85,"P1")</f>
        <v/>
      </c>
      <c r="E36" s="12" t="n"/>
      <c r="F36" s="12" t="n"/>
    </row>
    <row r="37">
      <c r="A37" s="12" t="inlineStr">
        <is>
          <t>Safety Boundary</t>
        </is>
      </c>
      <c r="B37" s="12">
        <f>COUNTIF(F1_Test_Cases!$D$2:$D$85,A37)</f>
        <v/>
      </c>
      <c r="C37" s="12">
        <f>COUNTIFS(F1_Test_Cases!$D$2:$D$85,A37,F1_Test_Cases!$E$2:$E$85,"P0")</f>
        <v/>
      </c>
      <c r="D37" s="12">
        <f>COUNTIFS(F1_Test_Cases!$D$2:$D$85,A37,F1_Test_Cases!$E$2:$E$85,"P1")</f>
        <v/>
      </c>
      <c r="E37" s="12" t="n"/>
      <c r="F37" s="12" t="n"/>
    </row>
    <row r="38">
      <c r="A38" s="12" t="inlineStr">
        <is>
          <t>Search Depth</t>
        </is>
      </c>
      <c r="B38" s="12">
        <f>COUNTIF(F1_Test_Cases!$D$2:$D$85,A38)</f>
        <v/>
      </c>
      <c r="C38" s="12">
        <f>COUNTIFS(F1_Test_Cases!$D$2:$D$85,A38,F1_Test_Cases!$E$2:$E$85,"P0")</f>
        <v/>
      </c>
      <c r="D38" s="12">
        <f>COUNTIFS(F1_Test_Cases!$D$2:$D$85,A38,F1_Test_Cases!$E$2:$E$85,"P1")</f>
        <v/>
      </c>
      <c r="E38" s="12" t="n"/>
      <c r="F38" s="12" t="n"/>
    </row>
    <row r="39">
      <c r="A39" s="12" t="inlineStr">
        <is>
          <t>Security</t>
        </is>
      </c>
      <c r="B39" s="12">
        <f>COUNTIF(F1_Test_Cases!$D$2:$D$85,A39)</f>
        <v/>
      </c>
      <c r="C39" s="12">
        <f>COUNTIFS(F1_Test_Cases!$D$2:$D$85,A39,F1_Test_Cases!$E$2:$E$85,"P0")</f>
        <v/>
      </c>
      <c r="D39" s="12">
        <f>COUNTIFS(F1_Test_Cases!$D$2:$D$85,A39,F1_Test_Cases!$E$2:$E$85,"P1")</f>
        <v/>
      </c>
      <c r="E39" s="12" t="n"/>
      <c r="F39" s="12" t="n"/>
    </row>
    <row r="40">
      <c r="A40" s="12" t="inlineStr">
        <is>
          <t>Sparse Corridor</t>
        </is>
      </c>
      <c r="B40" s="12">
        <f>COUNTIF(F1_Test_Cases!$D$2:$D$85,A40)</f>
        <v/>
      </c>
      <c r="C40" s="12">
        <f>COUNTIFS(F1_Test_Cases!$D$2:$D$85,A40,F1_Test_Cases!$E$2:$E$85,"P0")</f>
        <v/>
      </c>
      <c r="D40" s="12">
        <f>COUNTIFS(F1_Test_Cases!$D$2:$D$85,A40,F1_Test_Cases!$E$2:$E$85,"P1")</f>
        <v/>
      </c>
      <c r="E40" s="12" t="n"/>
      <c r="F40" s="12" t="n"/>
    </row>
    <row r="41">
      <c r="A41" s="12" t="inlineStr">
        <is>
          <t>Station Metadata</t>
        </is>
      </c>
      <c r="B41" s="12">
        <f>COUNTIF(F1_Test_Cases!$D$2:$D$85,A41)</f>
        <v/>
      </c>
      <c r="C41" s="12">
        <f>COUNTIFS(F1_Test_Cases!$D$2:$D$85,A41,F1_Test_Cases!$E$2:$E$85,"P0")</f>
        <v/>
      </c>
      <c r="D41" s="12">
        <f>COUNTIFS(F1_Test_Cases!$D$2:$D$85,A41,F1_Test_Cases!$E$2:$E$85,"P1")</f>
        <v/>
      </c>
      <c r="E41" s="12" t="n"/>
      <c r="F41" s="12" t="n"/>
    </row>
    <row r="42">
      <c r="A42" s="12" t="inlineStr">
        <is>
          <t>Station Search</t>
        </is>
      </c>
      <c r="B42" s="12">
        <f>COUNTIF(F1_Test_Cases!$D$2:$D$85,A42)</f>
        <v/>
      </c>
      <c r="C42" s="12">
        <f>COUNTIFS(F1_Test_Cases!$D$2:$D$85,A42,F1_Test_Cases!$E$2:$E$85,"P0")</f>
        <v/>
      </c>
      <c r="D42" s="12">
        <f>COUNTIFS(F1_Test_Cases!$D$2:$D$85,A42,F1_Test_Cases!$E$2:$E$85,"P1")</f>
        <v/>
      </c>
      <c r="E42" s="12" t="n"/>
      <c r="F42" s="12" t="n"/>
    </row>
    <row r="43">
      <c r="A43" s="12" t="inlineStr">
        <is>
          <t>Station Status</t>
        </is>
      </c>
      <c r="B43" s="12">
        <f>COUNTIF(F1_Test_Cases!$D$2:$D$85,A43)</f>
        <v/>
      </c>
      <c r="C43" s="12">
        <f>COUNTIFS(F1_Test_Cases!$D$2:$D$85,A43,F1_Test_Cases!$E$2:$E$85,"P0")</f>
        <v/>
      </c>
      <c r="D43" s="12">
        <f>COUNTIFS(F1_Test_Cases!$D$2:$D$85,A43,F1_Test_Cases!$E$2:$E$85,"P1")</f>
        <v/>
      </c>
      <c r="E43" s="12" t="n"/>
      <c r="F43" s="12" t="n"/>
    </row>
    <row r="44">
      <c r="A44" s="12" t="inlineStr">
        <is>
          <t>UI</t>
        </is>
      </c>
      <c r="B44" s="12">
        <f>COUNTIF(F1_Test_Cases!$D$2:$D$85,A44)</f>
        <v/>
      </c>
      <c r="C44" s="12">
        <f>COUNTIFS(F1_Test_Cases!$D$2:$D$85,A44,F1_Test_Cases!$E$2:$E$85,"P0")</f>
        <v/>
      </c>
      <c r="D44" s="12">
        <f>COUNTIFS(F1_Test_Cases!$D$2:$D$85,A44,F1_Test_Cases!$E$2:$E$85,"P1")</f>
        <v/>
      </c>
      <c r="E44" s="12" t="n"/>
      <c r="F44" s="12" t="n"/>
    </row>
    <row r="45">
      <c r="A45" s="12" t="inlineStr">
        <is>
          <t>UI Robustness</t>
        </is>
      </c>
      <c r="B45" s="12">
        <f>COUNTIF(F1_Test_Cases!$D$2:$D$85,A45)</f>
        <v/>
      </c>
      <c r="C45" s="12">
        <f>COUNTIFS(F1_Test_Cases!$D$2:$D$85,A45,F1_Test_Cases!$E$2:$E$85,"P0")</f>
        <v/>
      </c>
      <c r="D45" s="12">
        <f>COUNTIFS(F1_Test_Cases!$D$2:$D$85,A45,F1_Test_Cases!$E$2:$E$85,"P1")</f>
        <v/>
      </c>
      <c r="E45" s="12" t="n"/>
      <c r="F45" s="12" t="n"/>
    </row>
    <row r="46">
      <c r="A46" s="12" t="inlineStr">
        <is>
          <t>UI Safety</t>
        </is>
      </c>
      <c r="B46" s="12">
        <f>COUNTIF(F1_Test_Cases!$D$2:$D$85,A46)</f>
        <v/>
      </c>
      <c r="C46" s="12">
        <f>COUNTIFS(F1_Test_Cases!$D$2:$D$85,A46,F1_Test_Cases!$E$2:$E$85,"P0")</f>
        <v/>
      </c>
      <c r="D46" s="12">
        <f>COUNTIFS(F1_Test_Cases!$D$2:$D$85,A46,F1_Test_Cases!$E$2:$E$85,"P1")</f>
        <v/>
      </c>
      <c r="E46" s="12" t="n"/>
      <c r="F46" s="12" t="n"/>
    </row>
    <row r="47">
      <c r="A47" s="12" t="inlineStr">
        <is>
          <t>UI/Contract Consistency</t>
        </is>
      </c>
      <c r="B47" s="12">
        <f>COUNTIF(F1_Test_Cases!$D$2:$D$85,A47)</f>
        <v/>
      </c>
      <c r="C47" s="12">
        <f>COUNTIFS(F1_Test_Cases!$D$2:$D$85,A47,F1_Test_Cases!$E$2:$E$85,"P0")</f>
        <v/>
      </c>
      <c r="D47" s="12">
        <f>COUNTIFS(F1_Test_Cases!$D$2:$D$85,A47,F1_Test_Cases!$E$2:$E$85,"P1")</f>
        <v/>
      </c>
      <c r="E47" s="12" t="n"/>
      <c r="F47" s="12" t="n"/>
    </row>
    <row r="48">
      <c r="A48" s="12" t="inlineStr">
        <is>
          <t>Vehicle Profile</t>
        </is>
      </c>
      <c r="B48" s="12">
        <f>COUNTIF(F1_Test_Cases!$D$2:$D$85,A48)</f>
        <v/>
      </c>
      <c r="C48" s="12">
        <f>COUNTIFS(F1_Test_Cases!$D$2:$D$85,A48,F1_Test_Cases!$E$2:$E$85,"P0")</f>
        <v/>
      </c>
      <c r="D48" s="12">
        <f>COUNTIFS(F1_Test_Cases!$D$2:$D$85,A48,F1_Test_Cases!$E$2:$E$85,"P1")</f>
        <v/>
      </c>
      <c r="E48" s="12" t="n"/>
      <c r="F48" s="12" t="n"/>
    </row>
    <row r="49">
      <c r="A49" s="12" t="inlineStr">
        <is>
          <t>Waypoint Routing</t>
        </is>
      </c>
      <c r="B49" s="12">
        <f>COUNTIF(F1_Test_Cases!$D$2:$D$85,A49)</f>
        <v/>
      </c>
      <c r="C49" s="12">
        <f>COUNTIFS(F1_Test_Cases!$D$2:$D$85,A49,F1_Test_Cases!$E$2:$E$85,"P0")</f>
        <v/>
      </c>
      <c r="D49" s="12">
        <f>COUNTIFS(F1_Test_Cases!$D$2:$D$85,A49,F1_Test_Cases!$E$2:$E$85,"P1")</f>
        <v/>
      </c>
      <c r="E49" s="12" t="n"/>
      <c r="F49" s="12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4" customWidth="1" min="1" max="1"/>
    <col width="125" customWidth="1" min="2" max="2"/>
  </cols>
  <sheetData>
    <row r="1">
      <c r="A1" s="27" t="inlineStr">
        <is>
          <t>Nguyên tắc</t>
        </is>
      </c>
      <c r="B1" s="27" t="inlineStr">
        <is>
          <t>Cách áp dụng cho F1</t>
        </is>
      </c>
    </row>
    <row r="2">
      <c r="A2" s="15" t="inlineStr">
        <is>
          <t>1. LIVE smoke ≠ benchmark exact</t>
        </is>
      </c>
      <c r="B2" s="15" t="inlineStr">
        <is>
          <t>Goong route, VinFast generation/station metadata và Open-Meteo có thể thay đổi. LIVE chỉ assert invariants: đúng connector, reserve SOC ≥15%, provenance đúng, provider errors đúng, không bịa route/trạm.</t>
        </is>
      </c>
    </row>
    <row r="3">
      <c r="A3" s="15" t="inlineStr">
        <is>
          <t>2. FIXTURE dùng cho ground truth</t>
        </is>
      </c>
      <c r="B3" s="15" t="inlineStr">
        <is>
          <t>APP_ENV=test dùng route/station/environment fixture cố định. Các case boundary, connector, detour, charge target, provider failure và AI boundary phải assert exact expected output.</t>
        </is>
      </c>
    </row>
    <row r="4">
      <c r="A4" s="15" t="inlineStr">
        <is>
          <t>3. Không lấy dữ liệu live làm đáp án chuẩn</t>
        </is>
      </c>
      <c r="B4" s="15" t="inlineStr">
        <is>
          <t>Không chốt cứng 'phải chọn Trạm X' cho một live test dài hạn. Chỉ chốt station ID trong snapshot/fixture version hóa.</t>
        </is>
      </c>
    </row>
    <row r="5">
      <c r="A5" s="15" t="inlineStr">
        <is>
          <t>4. Safety oracle</t>
        </is>
      </c>
      <c r="B5" s="15" t="inlineStr">
        <is>
          <t>Mọi leg của PlanProposal hợp lệ phải có arrival SOC ≥15%; station phải được xác minh CCS2 và power hợp lệ; route từng leg phải là route provider/fixture thật; không có dữ liệu safety-critical thì fail closed.</t>
        </is>
      </c>
    </row>
    <row r="6">
      <c r="A6" s="15" t="inlineStr">
        <is>
          <t>5. Provider failure ≠ INFEASIBLE</t>
        </is>
      </c>
      <c r="B6" s="15" t="inlineStr">
        <is>
          <t>Goong lỗi → ROUTING_UNAVAILABLE; Open-Meteo lỗi → ENVIRONMENT_DATA_UNAVAILABLE. VinFast lỗi chỉ trả STATION_DATA_UNAVAILABLE khi hành trình cần sạc; chuyến đi thẳng đã chứng minh an toàn không phụ thuộc Locator.</t>
        </is>
      </c>
    </row>
    <row r="7">
      <c r="A7" s="15" t="inlineStr">
        <is>
          <t>6. AI không phải ground truth</t>
        </is>
      </c>
      <c r="B7" s="15" t="inlineStr">
        <is>
          <t>OpenAI chỉ xếp hạng các plan đã feasible và giải thích. AI tắt/lỗi/đưa plan_id ngoài tập cho phép không được thay đổi deterministic feasibility.</t>
        </is>
      </c>
    </row>
    <row r="8">
      <c r="A8" s="15" t="inlineStr">
        <is>
          <t>7. Data transparency</t>
        </is>
      </c>
      <c r="B8" s="15" t="inlineStr">
        <is>
          <t>ACTIVE/BUSY là metadata cấp trạm, không phải live availability từng cổng. port_count không phải số cổng đang rảnh.</t>
        </is>
      </c>
    </row>
    <row r="9">
      <c r="A9" s="15" t="inlineStr">
        <is>
          <t>8. Vehicle/policy hiện hành</t>
        </is>
      </c>
      <c r="B9" s="15" t="inlineStr">
        <is>
          <t>VF 6 Plus profile: usable/danh định theo profile backend hiện hành; tài liệu F1-US3 ghi pin 59,6 kWh, CCS2, max DC 100 kW. Reserve benchmark/pilot = 15%.</t>
        </is>
      </c>
    </row>
    <row r="10">
      <c r="A10" s="15" t="inlineStr">
        <is>
          <t>9. Backtracking/search scope</t>
        </is>
      </c>
      <c r="B10" s="15" t="inlineStr">
        <is>
          <t>Backtrack/detour chỉ chấp nhận khi route waypoint xác minh phần tăng thêm không vượt 10 km và 15 phút. Search tối đa 5 charging stops, UI tối đa 3 phương án an toàn.</t>
        </is>
      </c>
    </row>
    <row r="11">
      <c r="A11" s="15" t="inlineStr">
        <is>
          <t>10. Regression gate</t>
        </is>
      </c>
      <c r="B11" s="15" t="inlineStr">
        <is>
          <t>P0 phải pass trước demo/release. LIVE smoke nên chạy trên production sau deploy; FIXTURE P0 chạy trong CI/benchmark để tránh phụ thuộc provider live.</t>
        </is>
      </c>
    </row>
    <row r="12">
      <c r="A12" s="15" t="inlineStr">
        <is>
          <t>11. Station degradation/cache</t>
        </is>
      </c>
      <c r="B12" s="15" t="inlineStr">
        <is>
          <t>Có thể dùng cache locator đã tải khi refresh metadata lỗi và phải giữ source_updated_at/freshness. Detail lỗi một phần được bỏ qua; nếu không còn dữ liệu đủ để chứng minh chuỗi sạc an toàn thì fail closed.</t>
        </is>
      </c>
    </row>
    <row r="13">
      <c r="A13" s="15" t="inlineStr">
        <is>
          <t>12. Pilot model oracle</t>
        </is>
      </c>
      <c r="B13" s="15" t="inlineStr">
        <is>
          <t>Hệ số công suất ×0,85, mục tiêu sạc 80% và các hệ số thời tiết/tải là oracle của mô hình pilot, không phải ground truth vật lý hoặc cam kết OEM.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95" customWidth="1" min="3" max="3"/>
  </cols>
  <sheetData>
    <row r="1">
      <c r="A1" s="28" t="inlineStr">
        <is>
          <t>Automation status</t>
        </is>
      </c>
      <c r="B1" s="28" t="inlineStr">
        <is>
          <t>Số case</t>
        </is>
      </c>
      <c r="C1" s="28" t="inlineStr">
        <is>
          <t>Ý nghĩa</t>
        </is>
      </c>
    </row>
    <row r="2">
      <c r="A2" s="15" t="inlineStr">
        <is>
          <t>PASS</t>
        </is>
      </c>
      <c r="B2" s="15">
        <f>COUNTIF(F1_Test_Cases!$Q$2:$Q$85,"PASS")</f>
        <v/>
      </c>
      <c r="C2" s="15" t="inlineStr">
        <is>
          <t>Có automated test ánh xạ trực tiếp và đã pass trong lần verify.</t>
        </is>
      </c>
    </row>
    <row r="3">
      <c r="A3" s="15" t="inlineStr">
        <is>
          <t>FAIL</t>
        </is>
      </c>
      <c r="B3" s="15">
        <f>COUNTIF(F1_Test_Cases!$Q$2:$Q$85,"FAIL")</f>
        <v/>
      </c>
      <c r="C3" s="15" t="inlineStr">
        <is>
          <t>Automated test ánh xạ trực tiếp nhưng đang fail.</t>
        </is>
      </c>
    </row>
    <row r="4">
      <c r="A4" s="15" t="inlineStr">
        <is>
          <t>NOT_AUTOMATED</t>
        </is>
      </c>
      <c r="B4" s="15">
        <f>COUNTIF(F1_Test_Cases!$Q$2:$Q$85,"NOT_AUTOMATED")</f>
        <v/>
      </c>
      <c r="C4" s="15" t="inlineStr">
        <is>
          <t>Chưa có automated test bao phủ đầy đủ oracle của case.</t>
        </is>
      </c>
    </row>
    <row r="5">
      <c r="A5" s="15" t="n"/>
      <c r="B5" s="15" t="n"/>
      <c r="C5" s="15" t="n"/>
    </row>
    <row r="6">
      <c r="A6" s="15" t="inlineStr">
        <is>
          <t>Quy ước normalize</t>
        </is>
      </c>
      <c r="B6" s="15" t="n"/>
      <c r="C6" s="15" t="inlineStr">
        <is>
          <t>Không so UUID, plan_id, created_at, retrieved_at hoặc timestamp động trong fixture reproducibility.</t>
        </is>
      </c>
    </row>
    <row r="7">
      <c r="A7" s="15" t="inlineStr">
        <is>
          <t>LIVE</t>
        </is>
      </c>
      <c r="B7" s="15" t="n"/>
      <c r="C7" s="15" t="inlineStr">
        <is>
          <t>Chỉ assert invariant; không khóa tên trạm, số trạm hoặc route geometry theo thời gian.</t>
        </is>
      </c>
    </row>
    <row r="8">
      <c r="A8" s="15" t="inlineStr">
        <is>
          <t>FIXTURE</t>
        </is>
      </c>
      <c r="B8" s="15" t="n"/>
      <c r="C8" s="15" t="inlineStr">
        <is>
          <t>Dùng oracle exact và provider offline/version hóa.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2026-08-15T01:31:42Z</dcterms:created>
  <dcterms:modified xsi:type="dcterms:W3CDTF">2026-08-15T01:31:42Z</dcterms:modified>
</cp:coreProperties>
</file>